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2ce76b00a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b8ac5c0d27ff438e"/>
    <x:sheet xmlns:r="http://schemas.openxmlformats.org/officeDocument/2006/relationships" name="Mgmt_TAM" sheetId="2" r:id="R6ba51ed49ee64371"/>
    <x:sheet xmlns:r="http://schemas.openxmlformats.org/officeDocument/2006/relationships" name="TAM_to_SAM" sheetId="3" r:id="Rc431b4746ef14856"/>
    <x:sheet xmlns:r="http://schemas.openxmlformats.org/officeDocument/2006/relationships" name="Required_Share" sheetId="4" r:id="R259a3ccb19fd4e8b"/>
    <x:sheet xmlns:r="http://schemas.openxmlformats.org/officeDocument/2006/relationships" name="Competitor_Matrix" sheetId="5" r:id="R1e7488eb73494a4d"/>
    <x:sheet xmlns:r="http://schemas.openxmlformats.org/officeDocument/2006/relationships" name="FedEx_Capabilities" sheetId="6" r:id="R61180e9122c74595"/>
    <x:sheet xmlns:r="http://schemas.openxmlformats.org/officeDocument/2006/relationships" name="Customer_Wins" sheetId="7" r:id="R4dcdd5a551d54853"/>
    <x:sheet xmlns:r="http://schemas.openxmlformats.org/officeDocument/2006/relationships" name="Sources" sheetId="8" r:id="R09c9d2173de041f1"/>
    <x:sheet xmlns:r="http://schemas.openxmlformats.org/officeDocument/2006/relationships" name="Data_Dictionary" sheetId="9" r:id="Rb47ce6789b4a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B"/>
    <x:numFmt numFmtId="201" formatCode="$0.00B"/>
    <x:numFmt numFmtId="202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200" fontId="0" fillId="4" borderId="2" xfId="0" applyNumberFormat="1" applyFont="1" applyFill="1" applyBorder="1" applyAlignment="1">
      <x:alignment wrapText="1"/>
    </x:xf>
    <x:xf numFmtId="202" fontId="0" fillId="4" borderId="2" xfId="0" applyNumberFormat="1" applyFont="1" applyFill="1" applyBorder="1" applyAlignment="1">
      <x:alignment wrapText="1"/>
    </x:xf>
    <x:xf numFmtId="201" fontId="0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2" fontId="3" fillId="4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2ee71a2124e9d" /><Relationship Type="http://schemas.openxmlformats.org/officeDocument/2006/relationships/theme" Target="/xl/theme/theme1.xml" Id="R182dedd41ec1436f" /><Relationship Type="http://schemas.openxmlformats.org/officeDocument/2006/relationships/sharedStrings" Target="/xl/sharedStrings.xml" Id="Rcdb394df72e141be" /><Relationship Type="http://schemas.openxmlformats.org/officeDocument/2006/relationships/worksheet" Target="/xl/worksheets/sheet1.xml" Id="Rb8ac5c0d27ff438e" /><Relationship Type="http://schemas.openxmlformats.org/officeDocument/2006/relationships/worksheet" Target="/xl/worksheets/sheet2.xml" Id="R6ba51ed49ee64371" /><Relationship Type="http://schemas.openxmlformats.org/officeDocument/2006/relationships/worksheet" Target="/xl/worksheets/sheet3.xml" Id="Rc431b4746ef14856" /><Relationship Type="http://schemas.openxmlformats.org/officeDocument/2006/relationships/worksheet" Target="/xl/worksheets/sheet4.xml" Id="R259a3ccb19fd4e8b" /><Relationship Type="http://schemas.openxmlformats.org/officeDocument/2006/relationships/worksheet" Target="/xl/worksheets/sheet5.xml" Id="R1e7488eb73494a4d" /><Relationship Type="http://schemas.openxmlformats.org/officeDocument/2006/relationships/worksheet" Target="/xl/worksheets/sheet6.xml" Id="R61180e9122c74595" /><Relationship Type="http://schemas.openxmlformats.org/officeDocument/2006/relationships/worksheet" Target="/xl/worksheets/sheet7.xml" Id="R4dcdd5a551d54853" /><Relationship Type="http://schemas.openxmlformats.org/officeDocument/2006/relationships/worksheet" Target="/xl/worksheets/sheet8.xml" Id="R09c9d2173de041f1" /><Relationship Type="http://schemas.openxmlformats.org/officeDocument/2006/relationships/worksheet" Target="/xl/worksheets/sheet9.xml" Id="Rb47ce6789b4a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24" hidden="0" customWidth="1"/>
    <x:col min="4" max="4" width="28" hidden="0" customWidth="1"/>
    <x:col min="5" max="5" width="58" hidden="0" customWidth="1"/>
  </x:cols>
  <x:sheetData>
    <x:row r="1" ht="15" hidden="0" customHeight="1">
      <x:c r="A1" s="9" t="str">
        <x:v>FedEx Freight Healthcare TAM -&gt; SAM / Required Share</x:v>
      </x:c>
      <x:c r="B1" s="9"/>
      <x:c r="C1" s="9"/>
      <x:c r="D1" s="9"/>
      <x:c r="E1" s="9"/>
    </x:row>
    <x:row r="2" ht="15" hidden="0" customHeight="1">
      <x:c r="A2" s="7" t="str">
        <x:v>Prepared</x:v>
      </x:c>
      <x:c r="B2" s="7" t="str">
        <x:v>2026-08-11</x:v>
      </x:c>
      <x:c r="C2" s="7" t="str">
        <x:v>Scope</x:v>
      </x:c>
      <x:c r="D2" s="7" t="str">
        <x:v>Phase 2A only: healthcare TAM/SAM and right-to-win, no 2021-2023 peer-panel expansion.</x:v>
      </x:c>
      <x:c r="E2" s="7"/>
    </x:row>
    <x:row r="3" ht="15" hidden="0" customHeight="1">
      <x:c r="A3" s="7"/>
      <x:c r="B3" s="7"/>
      <x:c r="C3" s="7"/>
      <x:c r="D3" s="7"/>
      <x:c r="E3" s="7"/>
    </x:row>
    <x:row r="4" ht="15" hidden="0" customHeight="1">
      <x:c r="A4" s="7" t="str">
        <x:v>Question</x:v>
      </x:c>
      <x:c r="B4" s="7" t="str">
        <x:v>Answer</x:v>
      </x:c>
      <x:c r="C4" s="7" t="str">
        <x:v>Quant / Range</x:v>
      </x:c>
      <x:c r="D4" s="7" t="str">
        <x:v>Primary dependency</x:v>
      </x:c>
      <x:c r="E4" s="7" t="str">
        <x:v>Notes</x:v>
      </x:c>
    </x:row>
    <x:row r="5" ht="15" hidden="0" customHeight="1">
      <x:c r="A5" s="7" t="str">
        <x:v>Is $6B reasonable headline TAM?</x:v>
      </x:c>
      <x:c r="B5" s="7" t="str">
        <x:v>Yes as a broad headline, not as direct FDXF LTL revenue.</x:v>
      </x:c>
      <x:c r="C5" s="10" t="n">
        <x:v>6</x:v>
      </x:c>
      <x:c r="D5" s="7" t="str">
        <x:v>FDX_INV_DAY_P44</x:v>
      </x:c>
      <x:c r="E5" s="7" t="str">
        <x:v>FedEx frames the opportunity around Custom Critical and time-definite reliability; the footnote cites third-party estimates incorporating Census commodity-flow data.</x:v>
      </x:c>
    </x:row>
    <x:row r="6" ht="15" hidden="0" customHeight="1">
      <x:c r="A6" s="7" t="str">
        <x:v>Estimated LTL-serviceable market</x:v>
      </x:c>
      <x:c r="B6" s="7" t="str">
        <x:v>Base FDXF-compatible SAM is materially smaller than headline TAM.</x:v>
      </x:c>
      <x:c r="C6" s="7"/>
      <x:c r="D6" s="7" t="str">
        <x:v>TAM_to_SAM</x:v>
      </x:c>
      <x:c r="E6" s="7" t="str">
        <x:v>Low/base/high reflect LTL compatibility and FedEx capability compatibility by healthcare sub-segment.</x:v>
      </x:c>
    </x:row>
    <x:row r="7" ht="15" hidden="0" customHeight="1">
      <x:c r="A7" s="7" t="str">
        <x:v>Revenue Street/management growth framework requires</x:v>
      </x:c>
      <x:c r="B7" s="7" t="str">
        <x:v>Using management's 4%-6% medium-term CAGR and scenario healthcare contribution shares, required healthcare revenue by 2029 ranges from low hundreds of millions to roughly two-thirds of a billion.</x:v>
      </x:c>
      <x:c r="C7" s="7"/>
      <x:c r="D7" s="7" t="str">
        <x:v>Required_Share</x:v>
      </x:c>
      <x:c r="E7" s="7" t="str">
        <x:v>The healthcare contribution share is an analyst assumption because no public vertical-specific sell-side estimate was found.</x:v>
      </x:c>
    </x:row>
    <x:row r="8" ht="15" hidden="0" customHeight="1">
      <x:c r="A8" s="7" t="str">
        <x:v>Share of SAM implied</x:v>
      </x:c>
      <x:c r="B8" s="7" t="str">
        <x:v>Base scenario requires a meaningful share of base SAM by 2029.</x:v>
      </x:c>
      <x:c r="C8" s="7"/>
      <x:c r="D8" s="7" t="str">
        <x:v>Required_Share</x:v>
      </x:c>
      <x:c r="E8" s="7" t="str">
        <x:v>This is not trivial; the bull case needs stronger evidence of wins or capability expansion.</x:v>
      </x:c>
    </x:row>
    <x:row r="9" ht="15" hidden="0" customHeight="1">
      <x:c r="A9" s="7" t="str">
        <x:v>Judgment</x:v>
      </x:c>
      <x:c r="B9" s="7" t="str">
        <x:v>Plausible but difficult; not unsupported, not a layup.</x:v>
      </x:c>
      <x:c r="C9" s="7"/>
      <x:c r="D9" s="7" t="str">
        <x:v>Competitor_Matrix; FedEx_Capabilities; Customer_Wins</x:v>
      </x:c>
      <x:c r="E9" s="7" t="str">
        <x:v>FedEx has real time-critical and network assets, but public evidence of named FDXF healthcare wins is thin versus UPS/DHL/World Courier.</x:v>
      </x:c>
    </x:row>
    <x:row r="10" ht="15" hidden="0" customHeight="1">
      <x:c r="A10" s="7" t="str">
        <x:v>Evidence contradicting a bearish thesis</x:v>
      </x:c>
      <x:c r="B10" s="7" t="str">
        <x:v>FedEx Freight owns a large North American LTL network and FedEx Custom Critical provides 24/7/365 expedited, white-glove and temperature-control services.</x:v>
      </x:c>
      <x:c r="C10" s="7"/>
      <x:c r="D10" s="7" t="str">
        <x:v>FDX_EVENT; FDX_CUSTOM_CRITICAL; FDX_HEALTHCARE</x:v>
      </x:c>
      <x:c r="E10" s="7" t="str">
        <x:v>Bear thesis is weakened if Custom Critical captures high-value exceptions rather than competing only in generic LTL.</x:v>
      </x:c>
    </x:row>
    <x:row r="11" ht="15" hidden="0" customHeight="1">
      <x:c r="A11" s="7"/>
      <x:c r="B11" s="7"/>
      <x:c r="C11" s="7"/>
      <x:c r="D11" s="7"/>
      <x:c r="E11" s="7"/>
    </x:row>
    <x:row r="12" ht="15" hidden="0" customHeight="1">
      <x:c r="A12" s="7" t="str">
        <x:v>Key output</x:v>
      </x:c>
      <x:c r="B12" s="7" t="str">
        <x:v>Value</x:v>
      </x:c>
      <x:c r="C12" s="7" t="str">
        <x:v>Formula/source</x:v>
      </x:c>
      <x:c r="D12" s="7" t="str">
        <x:v>Interpretation</x:v>
      </x:c>
      <x:c r="E12" s="7" t="str">
        <x:v>Flag</x:v>
      </x:c>
    </x:row>
    <x:row r="13" ht="15" hidden="0" customHeight="1">
      <x:c r="A13" s="7" t="str">
        <x:v>Headline TAM ($B)</x:v>
      </x:c>
      <x:c r="B13" s="10" t="n">
        <x:f>'Mgmt_TAM'!D2</x:f>
        <x:v>6</x:v>
      </x:c>
      <x:c r="C13" s="7" t="str">
        <x:v>Mgmt cited opportunity</x:v>
      </x:c>
      <x:c r="D13" s="7" t="str">
        <x:v>Broad market headline</x:v>
      </x:c>
      <x:c r="E13" s="7" t="str">
        <x:v>Source-backed</x:v>
      </x:c>
    </x:row>
    <x:row r="14" ht="15" hidden="0" customHeight="1">
      <x:c r="A14" s="7" t="str">
        <x:v>Base serviceable SAM ($B)</x:v>
      </x:c>
      <x:c r="B14" s="10" t="n">
        <x:f>'TAM_to_SAM'!J8</x:f>
        <x:v>1.12175</x:v>
      </x:c>
      <x:c r="C14" s="7" t="str">
        <x:v>TAM_to_SAM total</x:v>
      </x:c>
      <x:c r="D14" s="7" t="str">
        <x:v>Estimated serviceable pool</x:v>
      </x:c>
      <x:c r="E14" s="7" t="str">
        <x:v>Assumption-backed</x:v>
      </x:c>
    </x:row>
    <x:row r="15" ht="15" hidden="0" customHeight="1">
      <x:c r="A15" s="7" t="str">
        <x:v>Low / high serviceable SAM ($B)</x:v>
      </x:c>
      <x:c r="B15" s="7" t="str">
        <x:f>TEXT('TAM_to_SAM'!I8,"$0.0B")&amp;" / "&amp;TEXT('TAM_to_SAM'!K8,"$0.0B")</x:f>
        <x:v>$0.543 / $2.043</x:v>
      </x:c>
      <x:c r="C15" s="7" t="str">
        <x:v>TAM_to_SAM total</x:v>
      </x:c>
      <x:c r="D15" s="7" t="str">
        <x:v>Sensitivity range</x:v>
      </x:c>
      <x:c r="E15" s="7" t="str">
        <x:v>Assumption-backed</x:v>
      </x:c>
    </x:row>
    <x:row r="16" ht="15" hidden="0" customHeight="1">
      <x:c r="A16" s="7" t="str">
        <x:v>Base 2029 healthcare revenue needed ($B)</x:v>
      </x:c>
      <x:c r="B16" s="11" t="n">
        <x:f>'Required_Share'!H7</x:f>
        <x:v>0.3467750000000005</x:v>
      </x:c>
      <x:c r="C16" s="7" t="str">
        <x:v>Required_Share base case</x:v>
      </x:c>
      <x:c r="D16" s="7" t="str">
        <x:v>Revenue to support CAGR scenario</x:v>
      </x:c>
      <x:c r="E16" s="7" t="str">
        <x:v>Scenario-backed</x:v>
      </x:c>
    </x:row>
    <x:row r="17" ht="15" hidden="0" customHeight="1">
      <x:c r="A17" s="7" t="str">
        <x:v>Base 2029 required share of base SAM</x:v>
      </x:c>
      <x:c r="B17" s="12" t="n">
        <x:f>'Required_Share'!M7</x:f>
        <x:v>0.3091375083574776</x:v>
      </x:c>
      <x:c r="C17" s="7" t="str">
        <x:v>Required_Share base case</x:v>
      </x:c>
      <x:c r="D17" s="7" t="str">
        <x:v>Right-to-win hurdle</x:v>
      </x:c>
      <x:c r="E17" s="7" t="str">
        <x:v>Scenario-backed</x:v>
      </x:c>
    </x:row>
    <x:row r="18" ht="15" hidden="0" customHeight="1">
      <x:c r="A18" s="7" t="str">
        <x:v>Main public data gap</x:v>
      </x:c>
      <x:c r="B18" s="7" t="str">
        <x:v>No named, revenue-sized FDXF healthcare customer win found in public search.</x:v>
      </x:c>
      <x:c r="C18" s="7" t="str">
        <x:v>Customer_Wins</x:v>
      </x:c>
      <x:c r="D18" s="7" t="str">
        <x:v>Requires management diligence / customer references.</x:v>
      </x:c>
      <x:c r="E18" s="7" t="str">
        <x:v>Data gap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23.8799991607666" hidden="0" customWidth="1"/>
    <x:col min="3" max="3" width="149" hidden="0" customWidth="1"/>
    <x:col min="4" max="4" width="16.6299991607666" hidden="0" customWidth="1"/>
    <x:col min="5" max="5" width="63.130001068115234" hidden="0" customWidth="1"/>
    <x:col min="6" max="6" width="72.25" hidden="0" customWidth="1"/>
    <x:col min="7" max="7" width="64" hidden="0" customWidth="1"/>
    <x:col min="8" max="8" width="26.3799991607666" hidden="0" customWidth="1"/>
    <x:col min="9" max="9" width="47" hidden="0" customWidth="1"/>
    <x:col min="10" max="10" width="57.880001068115234" hidden="0" customWidth="1"/>
    <x:col min="11" max="11" width="58.630001068115234" hidden="0" customWidth="1"/>
    <x:col min="12" max="12" width="126.5" hidden="0" customWidth="1"/>
    <x:col min="13" max="13" width="34.630001068115234" hidden="0" customWidth="1"/>
  </x:cols>
  <x:sheetData>
    <x:row r="1" ht="15" hidden="0" customHeight="1">
      <x:c r="A1" s="5" t="str">
        <x:v>Source_ID</x:v>
      </x:c>
      <x:c r="B1" s="5" t="str">
        <x:v>Source</x:v>
      </x:c>
      <x:c r="C1" s="5" t="str">
        <x:v>Management / public evidence</x:v>
      </x:c>
      <x:c r="D1" s="5" t="str">
        <x:v>TAM_or_revenue_$B</x:v>
      </x:c>
      <x:c r="E1" s="5" t="str">
        <x:v>Definition</x:v>
      </x:c>
      <x:c r="F1" s="5" t="str">
        <x:v>Services included</x:v>
      </x:c>
      <x:c r="G1" s="5" t="str">
        <x:v>Geography</x:v>
      </x:c>
      <x:c r="H1" s="5" t="str">
        <x:v>Time horizon</x:v>
      </x:c>
      <x:c r="I1" s="5" t="str">
        <x:v>Existing vs incremental</x:v>
      </x:c>
      <x:c r="J1" s="5" t="str">
        <x:v>Assumed FDXF penetration</x:v>
      </x:c>
      <x:c r="K1" s="5" t="str">
        <x:v>Implied revenue contribution</x:v>
      </x:c>
      <x:c r="L1" s="5" t="str">
        <x:v>Source_URL</x:v>
      </x:c>
      <x:c r="M1" s="5" t="str">
        <x:v>Confidence</x:v>
      </x:c>
    </x:row>
    <x:row r="2" ht="15" hidden="0" customHeight="1">
      <x:c r="A2" s="7" t="str">
        <x:v>FDX_INV_DAY_P44</x:v>
      </x:c>
      <x:c r="B2" s="7" t="str">
        <x:v>FedEx Freight Investor Day p.44</x:v>
      </x:c>
      <x:c r="C2" s="7" t="str">
        <x:v>Management says it will use FedEx Custom Critical to lean more heavily into an approximately $6B healthcare, pharma and life-sciences opportunity where reliability and time-definite solutions matter.</x:v>
      </x:c>
      <x:c r="D2" s="10" t="n">
        <x:v>6</x:v>
      </x:c>
      <x:c r="E2" s="7" t="str">
        <x:v>Third-party estimate of total market size incorporating census commodity-flow data.</x:v>
      </x:c>
      <x:c r="F2" s="7" t="str">
        <x:v>Healthcare, pharma, life sciences; specifically tied to Custom Critical and time-definite/reliability.</x:v>
      </x:c>
      <x:c r="G2" s="7" t="str">
        <x:v>Not explicitly stated; modeled as North America / FedEx Freight-relevant opportunity.</x:v>
      </x:c>
      <x:c r="H2" s="7" t="str">
        <x:v>Medium-term strategy context.</x:v>
      </x:c>
      <x:c r="I2" s="7" t="str">
        <x:v>Not disclosed as existing revenue; treated as opportunity pool.</x:v>
      </x:c>
      <x:c r="J2" s="7" t="str">
        <x:v>Not disclosed.</x:v>
      </x:c>
      <x:c r="K2" s="7" t="str">
        <x:v>Not disclosed; workbook scenarios estimate required share.</x:v>
      </x:c>
      <x:c r="L2" s="7" t="str">
        <x:v>https://d1io3yog0oux5.cloudfront.net/_5705b101ff53031529c842d008f96e5d/fedexfreight/db/3570/34491/presentation/FedEx+Freight+Investor+Day+Presentation.pdf</x:v>
      </x:c>
      <x:c r="M2" s="7" t="str">
        <x:v>High for quote; medium for market definition.</x:v>
      </x:c>
    </x:row>
    <x:row r="3" ht="15" hidden="0" customHeight="1">
      <x:c r="A3" s="7" t="str">
        <x:v>FDX_INV_DAY_P13</x:v>
      </x:c>
      <x:c r="B3" s="7" t="str">
        <x:v>FedEx Freight Investor Day p.13</x:v>
      </x:c>
      <x:c r="C3" s="7" t="str">
        <x:v>Medium-term revenue growth target is 4%-6% CAGR.</x:v>
      </x:c>
      <x:c r="D3" s="10"/>
      <x:c r="E3" s="7" t="str">
        <x:v>Company-wide FedEx Freight target, not healthcare-specific.</x:v>
      </x:c>
      <x:c r="F3" s="7" t="str">
        <x:v>All FedEx Freight revenue.</x:v>
      </x:c>
      <x:c r="G3" s="7" t="str">
        <x:v>Company-wide.</x:v>
      </x:c>
      <x:c r="H3" s="7" t="str">
        <x:v>Medium-term.</x:v>
      </x:c>
      <x:c r="I3" s="7" t="str">
        <x:v>Growth target from FY26E base.</x:v>
      </x:c>
      <x:c r="J3" s="7" t="str">
        <x:v>Not healthcare-specific.</x:v>
      </x:c>
      <x:c r="K3" s="7" t="str">
        <x:v>Used to calculate required healthcare contribution.</x:v>
      </x:c>
      <x:c r="L3" s="7" t="str">
        <x:v>https://d1io3yog0oux5.cloudfront.net/_5705b101ff53031529c842d008f96e5d/fedexfreight/db/3570/34491/presentation/FedEx+Freight+Investor+Day+Presentation.pdf</x:v>
      </x:c>
      <x:c r="M3" s="7" t="str">
        <x:v>High</x:v>
      </x:c>
    </x:row>
    <x:row r="4" ht="15" hidden="0" customHeight="1">
      <x:c r="A4" s="7" t="str">
        <x:v>FDX_INV_DAY_P35</x:v>
      </x:c>
      <x:c r="B4" s="7" t="str">
        <x:v>FedEx Freight Investor Day p.35</x:v>
      </x:c>
      <x:c r="C4" s="7" t="str">
        <x:v>FY26E revenue by offering is 64% Priority, 32% Economy, 3% Other; Other includes Custom Critical, Freight Direct and specialty services.</x:v>
      </x:c>
      <x:c r="D4" s="10"/>
      <x:c r="E4" s="7" t="str">
        <x:v>Offering mix.</x:v>
      </x:c>
      <x:c r="F4" s="7" t="str">
        <x:v>Priority, Economy, Other.</x:v>
      </x:c>
      <x:c r="G4" s="7" t="str">
        <x:v>Company-wide.</x:v>
      </x:c>
      <x:c r="H4" s="7" t="str">
        <x:v>FY2026 estimate.</x:v>
      </x:c>
      <x:c r="I4" s="7" t="str">
        <x:v>Existing revenue mix.</x:v>
      </x:c>
      <x:c r="J4" s="7" t="str">
        <x:v>Custom Critical embedded in Other; exact healthcare exposure not disclosed.</x:v>
      </x:c>
      <x:c r="K4" s="7" t="str">
        <x:v>Not disclosed.</x:v>
      </x:c>
      <x:c r="L4" s="7" t="str">
        <x:v>https://d1io3yog0oux5.cloudfront.net/_5705b101ff53031529c842d008f96e5d/fedexfreight/db/3570/34491/presentation/FedEx+Freight+Investor+Day+Presentation.pdf</x:v>
      </x:c>
      <x:c r="M4" s="7" t="str">
        <x:v>High</x:v>
      </x:c>
    </x:row>
    <x:row r="5" ht="15" hidden="0" customHeight="1">
      <x:c r="A5" s="7" t="str">
        <x:v>FDX_Q4_FY26</x:v>
      </x:c>
      <x:c r="B5" s="7" t="str">
        <x:v>FY2026 results release</x:v>
      </x:c>
      <x:c r="C5" s="7" t="str">
        <x:v>Full fiscal 2026 revenue was $8.8B.</x:v>
      </x:c>
      <x:c r="D5" s="10" t="n">
        <x:v>8.8</x:v>
      </x:c>
      <x:c r="E5" s="7" t="str">
        <x:v>FedEx Freight segment results as previously released by FedEx Corporation.</x:v>
      </x:c>
      <x:c r="F5" s="7" t="str">
        <x:v>All FedEx Freight segment revenue.</x:v>
      </x:c>
      <x:c r="G5" s="7" t="str">
        <x:v>Company-wide.</x:v>
      </x:c>
      <x:c r="H5" s="7" t="str">
        <x:v>FY2026.</x:v>
      </x:c>
      <x:c r="I5" s="7" t="str">
        <x:v>Revenue base for medium-term scenario math.</x:v>
      </x:c>
      <x:c r="J5" s="7" t="str">
        <x:v>Not healthcare-specific.</x:v>
      </x:c>
      <x:c r="K5" s="7" t="str">
        <x:v>Scenario base year.</x:v>
      </x:c>
      <x:c r="L5" s="7" t="str">
        <x:v>https://ir.fedexfreight.com/news-events/press-releases/detail/185/fedex-freight-reports-fourth-quarter-and-full-fiscal-year-2026-financial-results</x:v>
      </x:c>
      <x:c r="M5" s="7" t="str">
        <x:v>High</x:v>
      </x:c>
    </x:row>
    <x:row r="6" ht="15" hidden="0" customHeight="1">
      <x:c r="A6" s="7" t="str">
        <x:v>PUBLIC_SCAN</x:v>
      </x:c>
      <x:c r="B6" s="7" t="str">
        <x:v>Public search note</x:v>
      </x:c>
      <x:c r="C6" s="7" t="str">
        <x:v>No public, revenue-sized sell-side estimate of healthcare revenue contribution was identified in the source scan.</x:v>
      </x:c>
      <x:c r="D6" s="10"/>
      <x:c r="E6" s="7" t="str">
        <x:v>Data gap.</x:v>
      </x:c>
      <x:c r="F6" s="7" t="str">
        <x:v>N/A</x:v>
      </x:c>
      <x:c r="G6" s="7" t="str">
        <x:v>N/A</x:v>
      </x:c>
      <x:c r="H6" s="7" t="str">
        <x:v>2021-2026 public record searched.</x:v>
      </x:c>
      <x:c r="I6" s="7" t="str">
        <x:v>N/A</x:v>
      </x:c>
      <x:c r="J6" s="7" t="str">
        <x:v>N/A</x:v>
      </x:c>
      <x:c r="K6" s="7" t="str">
        <x:v>Workbook uses explicit analyst assumptions for healthcare contribution share.</x:v>
      </x:c>
      <x:c r="L6" s="7" t="str">
        <x:v>N/A</x:v>
      </x:c>
      <x:c r="M6" s="7" t="str">
        <x:v>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25" hidden="0" customWidth="1"/>
    <x:col min="2" max="2" width="14.630000114440918" hidden="0" customWidth="1"/>
    <x:col min="3" max="3" width="6.630000114440918" hidden="0" customWidth="1"/>
    <x:col min="4" max="4" width="7.380000114440918" hidden="0" customWidth="1"/>
    <x:col min="5" max="5" width="7.130000114440918" hidden="0" customWidth="1"/>
    <x:col min="6" max="6" width="14.75" hidden="0" customWidth="1"/>
    <x:col min="7" max="7" width="15.5" hidden="0" customWidth="1"/>
    <x:col min="8" max="8" width="15.25" hidden="0" customWidth="1"/>
    <x:col min="9" max="9" width="10.75" hidden="0" customWidth="1"/>
    <x:col min="10" max="10" width="11.5" hidden="0" customWidth="1"/>
    <x:col min="11" max="11" width="11.25" hidden="0" customWidth="1"/>
    <x:col min="12" max="12" width="9.630000114440918" hidden="0" customWidth="1"/>
    <x:col min="13" max="13" width="15.25" hidden="0" customWidth="1"/>
    <x:col min="14" max="14" width="22.5" hidden="0" customWidth="1"/>
    <x:col min="15" max="15" width="15.5" hidden="0" customWidth="1"/>
    <x:col min="16" max="16" width="128.3800048828125" hidden="0" customWidth="1"/>
    <x:col min="17" max="17" width="56" hidden="0" customWidth="1"/>
  </x:cols>
  <x:sheetData>
    <x:row r="1" ht="15" hidden="0" customHeight="1">
      <x:c r="A1" s="5" t="str">
        <x:v>Category</x:v>
      </x:c>
      <x:c r="B1" s="5" t="str">
        <x:v>Headline_TAM_$B</x:v>
      </x:c>
      <x:c r="C1" s="5" t="str">
        <x:v>LTL_low</x:v>
      </x:c>
      <x:c r="D1" s="5" t="str">
        <x:v>LTL_base</x:v>
      </x:c>
      <x:c r="E1" s="5" t="str">
        <x:v>LTL_high</x:v>
      </x:c>
      <x:c r="F1" s="5" t="str">
        <x:v>FDXF_compat_low</x:v>
      </x:c>
      <x:c r="G1" s="5" t="str">
        <x:v>FDXF_compat_base</x:v>
      </x:c>
      <x:c r="H1" s="5" t="str">
        <x:v>FDXF_compat_high</x:v>
      </x:c>
      <x:c r="I1" s="5" t="str">
        <x:v>SAM_low_$B</x:v>
      </x:c>
      <x:c r="J1" s="5" t="str">
        <x:v>SAM_base_$B</x:v>
      </x:c>
      <x:c r="K1" s="5" t="str">
        <x:v>SAM_high_$B</x:v>
      </x:c>
      <x:c r="L1" s="5" t="str">
        <x:v>Parcel_base</x:v>
      </x:c>
      <x:c r="M1" s="5" t="str">
        <x:v>Dedicated_TL_base</x:v>
      </x:c>
      <x:c r="N1" s="5" t="str">
        <x:v>Specialized_cold_chain_base</x:v>
      </x:c>
      <x:c r="O1" s="5" t="str">
        <x:v>Expedited_CC_base</x:v>
      </x:c>
      <x:c r="P1" s="5" t="str">
        <x:v>Rationale</x:v>
      </x:c>
      <x:c r="Q1" s="5" t="str">
        <x:v>Key_source_ids</x:v>
      </x:c>
    </x:row>
    <x:row r="2" ht="15" hidden="0" customHeight="1">
      <x:c r="A2" s="7" t="str">
        <x:v>Pharmaceuticals</x:v>
      </x:c>
      <x:c r="B2" s="10" t="n">
        <x:v>2</x:v>
      </x:c>
      <x:c r="C2" s="12" t="n">
        <x:v>0.2</x:v>
      </x:c>
      <x:c r="D2" s="12" t="n">
        <x:v>0.35</x:v>
      </x:c>
      <x:c r="E2" s="12" t="n">
        <x:v>0.5</x:v>
      </x:c>
      <x:c r="F2" s="12" t="n">
        <x:v>0.4</x:v>
      </x:c>
      <x:c r="G2" s="12" t="n">
        <x:v>0.55</x:v>
      </x:c>
      <x:c r="H2" s="12" t="n">
        <x:v>0.7</x:v>
      </x:c>
      <x:c r="I2" s="11" t="n">
        <x:f>B2*C2*F2</x:f>
        <x:v>0.16000000000000003</x:v>
      </x:c>
      <x:c r="J2" s="11" t="n">
        <x:f>B2*D2*G2</x:f>
        <x:v>0.385</x:v>
      </x:c>
      <x:c r="K2" s="11" t="n">
        <x:f>B2*E2*H2</x:f>
        <x:v>0.7</x:v>
      </x:c>
      <x:c r="L2" s="12" t="n">
        <x:v>0.45</x:v>
      </x:c>
      <x:c r="M2" s="12" t="n">
        <x:v>0.15</x:v>
      </x:c>
      <x:c r="N2" s="12" t="n">
        <x:v>0.25</x:v>
      </x:c>
      <x:c r="O2" s="12" t="n">
        <x:v>0.15</x:v>
      </x:c>
      <x:c r="P2" s="7" t="str">
        <x:v>Large high-value flow, but many lanes require parcel/air, dedicated cold chain or specialized courier. Custom Critical captures time-critical exceptions better than generic LTL.</x:v>
      </x:c>
      <x:c r="Q2" s="7" t="str">
        <x:v>FDX_INV_DAY_P44; CFS_2022; FDX_CUSTOM_CRITICAL; FDX_HEALTHCARE</x:v>
      </x:c>
    </x:row>
    <x:row r="3" ht="15" hidden="0" customHeight="1">
      <x:c r="A3" s="7" t="str">
        <x:v>Biologics and advanced therapies</x:v>
      </x:c>
      <x:c r="B3" s="10" t="n">
        <x:v>1.3</x:v>
      </x:c>
      <x:c r="C3" s="12" t="n">
        <x:v>0.05</x:v>
      </x:c>
      <x:c r="D3" s="12" t="n">
        <x:v>0.15</x:v>
      </x:c>
      <x:c r="E3" s="12" t="n">
        <x:v>0.25</x:v>
      </x:c>
      <x:c r="F3" s="12" t="n">
        <x:v>0.3</x:v>
      </x:c>
      <x:c r="G3" s="12" t="n">
        <x:v>0.45</x:v>
      </x:c>
      <x:c r="H3" s="12" t="n">
        <x:v>0.55</x:v>
      </x:c>
      <x:c r="I3" s="11" t="n">
        <x:f>B3*C3*F3</x:f>
        <x:v>0.0195</x:v>
      </x:c>
      <x:c r="J3" s="11" t="n">
        <x:f>B3*D3*G3</x:f>
        <x:v>0.08775000000000001</x:v>
      </x:c>
      <x:c r="K3" s="11" t="n">
        <x:f>B3*E3*H3</x:f>
        <x:v>0.17875000000000002</x:v>
      </x:c>
      <x:c r="L3" s="12" t="n">
        <x:v>0.35</x:v>
      </x:c>
      <x:c r="M3" s="12" t="n">
        <x:v>0.1</x:v>
      </x:c>
      <x:c r="N3" s="12" t="n">
        <x:v>0.45</x:v>
      </x:c>
      <x:c r="O3" s="12" t="n">
        <x:v>0.1</x:v>
      </x:c>
      <x:c r="P3" s="7" t="str">
        <x:v>More temperature-sensitive and compliance-intensive; meaningful value exists, but FDXF-compatible portion is narrower without disclosed pharma hub footprint.</x:v>
      </x:c>
      <x:c r="Q3" s="7" t="str">
        <x:v>FDX_INV_DAY_P44; DHL_INVEST; WORLD_COURIER; CENCORA_CLINICAL</x:v>
      </x:c>
    </x:row>
    <x:row r="4" ht="15" hidden="0" customHeight="1">
      <x:c r="A4" s="7" t="str">
        <x:v>Medical devices</x:v>
      </x:c>
      <x:c r="B4" s="10" t="n">
        <x:v>1.1</x:v>
      </x:c>
      <x:c r="C4" s="12" t="n">
        <x:v>0.3</x:v>
      </x:c>
      <x:c r="D4" s="12" t="n">
        <x:v>0.5</x:v>
      </x:c>
      <x:c r="E4" s="12" t="n">
        <x:v>0.65</x:v>
      </x:c>
      <x:c r="F4" s="12" t="n">
        <x:v>0.5</x:v>
      </x:c>
      <x:c r="G4" s="12" t="n">
        <x:v>0.6</x:v>
      </x:c>
      <x:c r="H4" s="12" t="n">
        <x:v>0.75</x:v>
      </x:c>
      <x:c r="I4" s="11" t="n">
        <x:f>B4*C4*F4</x:f>
        <x:v>0.165</x:v>
      </x:c>
      <x:c r="J4" s="11" t="n">
        <x:f>B4*D4*G4</x:f>
        <x:v>0.33</x:v>
      </x:c>
      <x:c r="K4" s="11" t="n">
        <x:f>B4*E4*H4</x:f>
        <x:v>0.5362500000000001</x:v>
      </x:c>
      <x:c r="L4" s="12" t="n">
        <x:v>0.2</x:v>
      </x:c>
      <x:c r="M4" s="12" t="n">
        <x:v>0.2</x:v>
      </x:c>
      <x:c r="N4" s="12" t="n">
        <x:v>0.15</x:v>
      </x:c>
      <x:c r="O4" s="12" t="n">
        <x:v>0.2</x:v>
      </x:c>
      <x:c r="P4" s="7" t="str">
        <x:v>Bulkier, damage-sensitive device freight is comparatively more LTL/white-glove compatible than pharma cold chain.</x:v>
      </x:c>
      <x:c r="Q4" s="7" t="str">
        <x:v>FDX_INV_DAY_P44; UPS_AHG; FDX_CUSTOM_CRITICAL</x:v>
      </x:c>
    </x:row>
    <x:row r="5" ht="15" hidden="0" customHeight="1">
      <x:c r="A5" s="7" t="str">
        <x:v>Diagnostics and lab supplies</x:v>
      </x:c>
      <x:c r="B5" s="10" t="n">
        <x:v>0.5</x:v>
      </x:c>
      <x:c r="C5" s="12" t="n">
        <x:v>0.1</x:v>
      </x:c>
      <x:c r="D5" s="12" t="n">
        <x:v>0.2</x:v>
      </x:c>
      <x:c r="E5" s="12" t="n">
        <x:v>0.35</x:v>
      </x:c>
      <x:c r="F5" s="12" t="n">
        <x:v>0.35</x:v>
      </x:c>
      <x:c r="G5" s="12" t="n">
        <x:v>0.5</x:v>
      </x:c>
      <x:c r="H5" s="12" t="n">
        <x:v>0.6</x:v>
      </x:c>
      <x:c r="I5" s="11" t="n">
        <x:f>B5*C5*F5</x:f>
        <x:v>0.017499999999999998</x:v>
      </x:c>
      <x:c r="J5" s="11" t="n">
        <x:f>B5*D5*G5</x:f>
        <x:v>0.05</x:v>
      </x:c>
      <x:c r="K5" s="11" t="n">
        <x:f>B5*E5*H5</x:f>
        <x:v>0.105</x:v>
      </x:c>
      <x:c r="L5" s="12" t="n">
        <x:v>0.35</x:v>
      </x:c>
      <x:c r="M5" s="12" t="n">
        <x:v>0.1</x:v>
      </x:c>
      <x:c r="N5" s="12" t="n">
        <x:v>0.35</x:v>
      </x:c>
      <x:c r="O5" s="12" t="n">
        <x:v>0.1</x:v>
      </x:c>
      <x:c r="P5" s="7" t="str">
        <x:v>Specimen and reagent movements skew parcel/courier/cold-chain; some replenishment and equipment lanes are freight-compatible.</x:v>
      </x:c>
      <x:c r="Q5" s="7" t="str">
        <x:v>FDX_HEALTHCARE; CENCORA_CLINICAL; WORLD_COURIER</x:v>
      </x:c>
    </x:row>
    <x:row r="6" ht="15" hidden="0" customHeight="1">
      <x:c r="A6" s="7" t="str">
        <x:v>Hospital and clinical supplies</x:v>
      </x:c>
      <x:c r="B6" s="10" t="n">
        <x:v>0.6</x:v>
      </x:c>
      <x:c r="C6" s="12" t="n">
        <x:v>0.4</x:v>
      </x:c>
      <x:c r="D6" s="12" t="n">
        <x:v>0.55</x:v>
      </x:c>
      <x:c r="E6" s="12" t="n">
        <x:v>0.7</x:v>
      </x:c>
      <x:c r="F6" s="12" t="n">
        <x:v>0.45</x:v>
      </x:c>
      <x:c r="G6" s="12" t="n">
        <x:v>0.55</x:v>
      </x:c>
      <x:c r="H6" s="12" t="n">
        <x:v>0.7</x:v>
      </x:c>
      <x:c r="I6" s="11" t="n">
        <x:f>B6*C6*F6</x:f>
        <x:v>0.108</x:v>
      </x:c>
      <x:c r="J6" s="11" t="n">
        <x:f>B6*D6*G6</x:f>
        <x:v>0.18150000000000002</x:v>
      </x:c>
      <x:c r="K6" s="11" t="n">
        <x:f>B6*E6*H6</x:f>
        <x:v>0.294</x:v>
      </x:c>
      <x:c r="L6" s="12" t="n">
        <x:v>0.2</x:v>
      </x:c>
      <x:c r="M6" s="12" t="n">
        <x:v>0.3</x:v>
      </x:c>
      <x:c r="N6" s="12" t="n">
        <x:v>0.1</x:v>
      </x:c>
      <x:c r="O6" s="12" t="n">
        <x:v>0.15</x:v>
      </x:c>
      <x:c r="P6" s="7" t="str">
        <x:v>Palletized supplies are one of the most plausible LTL-compatible pools, although distributor networks and private/dedicated fleets constrain addressability.</x:v>
      </x:c>
      <x:c r="Q6" s="7" t="str">
        <x:v>CFS_2022; FDX_INV_DAY_P44</x:v>
      </x:c>
    </x:row>
    <x:row r="7" ht="15" hidden="0" customHeight="1">
      <x:c r="A7" s="7" t="str">
        <x:v>Life-sciences equipment</x:v>
      </x:c>
      <x:c r="B7" s="10" t="n">
        <x:v>0.5</x:v>
      </x:c>
      <x:c r="C7" s="12" t="n">
        <x:v>0.2</x:v>
      </x:c>
      <x:c r="D7" s="12" t="n">
        <x:v>0.35</x:v>
      </x:c>
      <x:c r="E7" s="12" t="n">
        <x:v>0.5</x:v>
      </x:c>
      <x:c r="F7" s="12" t="n">
        <x:v>0.4</x:v>
      </x:c>
      <x:c r="G7" s="12" t="n">
        <x:v>0.5</x:v>
      </x:c>
      <x:c r="H7" s="12" t="n">
        <x:v>0.65</x:v>
      </x:c>
      <x:c r="I7" s="11" t="n">
        <x:f>B7*C7*F7</x:f>
        <x:v>0.04000000000000001</x:v>
      </x:c>
      <x:c r="J7" s="11" t="n">
        <x:f>B7*D7*G7</x:f>
        <x:v>0.0875</x:v>
      </x:c>
      <x:c r="K7" s="11" t="n">
        <x:f>B7*E7*H7</x:f>
        <x:v>0.1625</x:v>
      </x:c>
      <x:c r="L7" s="12" t="n">
        <x:v>0.15</x:v>
      </x:c>
      <x:c r="M7" s="12" t="n">
        <x:v>0.25</x:v>
      </x:c>
      <x:c r="N7" s="12" t="n">
        <x:v>0.2</x:v>
      </x:c>
      <x:c r="O7" s="12" t="n">
        <x:v>0.2</x:v>
      </x:c>
      <x:c r="P7" s="7" t="str">
        <x:v>Instrumentation and lab equipment fit LTL/white-glove if damage prevention and appointment handling are strong.</x:v>
      </x:c>
      <x:c r="Q7" s="7" t="str">
        <x:v>FDX_CUSTOM_CRITICAL; WORLD_COURIER</x:v>
      </x:c>
    </x:row>
    <x:row r="8" ht="15" hidden="0" customHeight="1">
      <x:c r="A8" s="17" t="str">
        <x:v>Total</x:v>
      </x:c>
      <x:c r="B8" s="18" t="n">
        <x:f>SUM(B2:B7)</x:f>
        <x:v>6</x:v>
      </x:c>
      <x:c r="C8" s="19"/>
      <x:c r="D8" s="19"/>
      <x:c r="E8" s="19"/>
      <x:c r="F8" s="19"/>
      <x:c r="G8" s="19"/>
      <x:c r="H8" s="19"/>
      <x:c r="I8" s="20" t="n">
        <x:f>SUM(I2:I7)</x:f>
        <x:v>0.51</x:v>
      </x:c>
      <x:c r="J8" s="20" t="n">
        <x:f>SUM(J2:J7)</x:f>
        <x:v>1.12175</x:v>
      </x:c>
      <x:c r="K8" s="20" t="n">
        <x:f>SUM(K2:K7)</x:f>
        <x:v>1.9765000000000001</x:v>
      </x:c>
      <x:c r="L8" s="19"/>
      <x:c r="M8" s="19"/>
      <x:c r="N8" s="19"/>
      <x:c r="O8" s="19"/>
      <x:c r="P8" s="17" t="str">
        <x:v>Totals are formula-backed. Percent assumptions are intentionally ranges, not false precision.</x:v>
      </x:c>
      <x:c r="Q8" s="17" t="str">
        <x:v>See Sources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4.25" hidden="0" customWidth="1"/>
    <x:col min="3" max="3" width="20.5" hidden="0" customWidth="1"/>
    <x:col min="4" max="4" width="12.380000114440918" hidden="0" customWidth="1"/>
    <x:col min="5" max="5" width="17.8799991607666" hidden="0" customWidth="1"/>
    <x:col min="6" max="6" width="21.5" hidden="0" customWidth="1"/>
    <x:col min="7" max="7" width="22.5" hidden="0" customWidth="1"/>
    <x:col min="8" max="8" width="26.5" hidden="0" customWidth="1"/>
    <x:col min="9" max="9" width="10.75" hidden="0" customWidth="1"/>
    <x:col min="10" max="10" width="11.5" hidden="0" customWidth="1"/>
    <x:col min="11" max="11" width="11.25" hidden="0" customWidth="1"/>
    <x:col min="12" max="12" width="15.5" hidden="0" customWidth="1"/>
    <x:col min="13" max="13" width="16.25" hidden="0" customWidth="1"/>
    <x:col min="14" max="14" width="16" hidden="0" customWidth="1"/>
    <x:col min="15" max="15" width="68.62999725341797" hidden="0" customWidth="1"/>
  </x:cols>
  <x:sheetData>
    <x:row r="1" ht="15" hidden="0" customHeight="1">
      <x:c r="A1" s="5" t="str">
        <x:v>Scenario</x:v>
      </x:c>
      <x:c r="B1" s="5" t="str">
        <x:v>Year</x:v>
      </x:c>
      <x:c r="C1" s="5" t="str">
        <x:v>FY2026_revenue_base_$B</x:v>
      </x:c>
      <x:c r="D1" s="5" t="str">
        <x:v>Revenue_CAGR</x:v>
      </x:c>
      <x:c r="E1" s="5" t="str">
        <x:v>Projected_revenue_$B</x:v>
      </x:c>
      <x:c r="F1" s="5" t="str">
        <x:v>Incremental_vs_FY2026_$B</x:v>
      </x:c>
      <x:c r="G1" s="5" t="str">
        <x:v>Healthcare_contribution_pct</x:v>
      </x:c>
      <x:c r="H1" s="5" t="str">
        <x:v>Required_healthcare_revenue_$B</x:v>
      </x:c>
      <x:c r="I1" s="5" t="str">
        <x:v>SAM_low_$B</x:v>
      </x:c>
      <x:c r="J1" s="5" t="str">
        <x:v>SAM_base_$B</x:v>
      </x:c>
      <x:c r="K1" s="5" t="str">
        <x:v>SAM_high_$B</x:v>
      </x:c>
      <x:c r="L1" s="5" t="str">
        <x:v>Share_of_low_SAM</x:v>
      </x:c>
      <x:c r="M1" s="5" t="str">
        <x:v>Share_of_base_SAM</x:v>
      </x:c>
      <x:c r="N1" s="5" t="str">
        <x:v>Share_of_high_SAM</x:v>
      </x:c>
      <x:c r="O1" s="5" t="str">
        <x:v>Interpretation</x:v>
      </x:c>
    </x:row>
    <x:row r="2" ht="15" hidden="0" customHeight="1">
      <x:c r="A2" s="7" t="str">
        <x:v>Bear</x:v>
      </x:c>
      <x:c r="B2" s="7" t="n">
        <x:v>2027</x:v>
      </x:c>
      <x:c r="C2" s="10" t="n">
        <x:v>8.8</x:v>
      </x:c>
      <x:c r="D2" s="12" t="n">
        <x:v>0.04</x:v>
      </x:c>
      <x:c r="E2" s="11" t="n">
        <x:f>C2*(1+D2)^(B2-2026)</x:f>
        <x:v>9.152000000000001</x:v>
      </x:c>
      <x:c r="F2" s="11" t="n">
        <x:f>E2-C2</x:f>
        <x:v>0.3520000000000003</x:v>
      </x:c>
      <x:c r="G2" s="12" t="n">
        <x:v>0.15</x:v>
      </x:c>
      <x:c r="H2" s="11" t="n">
        <x:f>F2*G2</x:f>
        <x:v>0.05280000000000005</x:v>
      </x:c>
      <x:c r="I2" s="11" t="n">
        <x:f>'TAM_to_SAM'!$I$8</x:f>
        <x:v>0.51</x:v>
      </x:c>
      <x:c r="J2" s="11" t="n">
        <x:f>'TAM_to_SAM'!$J$8</x:f>
        <x:v>1.12175</x:v>
      </x:c>
      <x:c r="K2" s="11" t="n">
        <x:f>'TAM_to_SAM'!$K$8</x:f>
        <x:v>1.9765000000000001</x:v>
      </x:c>
      <x:c r="L2" s="12" t="n">
        <x:f>H2/I2</x:f>
        <x:v>0.10352941176470598</x:v>
      </x:c>
      <x:c r="M2" s="12" t="n">
        <x:f>H2/J2</x:f>
        <x:v>0.04706931134388237</x:v>
      </x:c>
      <x:c r="N2" s="12" t="n">
        <x:f>H2/K2</x:f>
        <x:v>0.026713888186187727</x:v>
      </x:c>
      <x:c r="O2" s="7" t="str">
        <x:v>Healthcare is a modest growth contributor; easier to defend but less transformative.</x:v>
      </x:c>
    </x:row>
    <x:row r="3" ht="15" hidden="0" customHeight="1">
      <x:c r="A3" s="7" t="str">
        <x:v>Bear</x:v>
      </x:c>
      <x:c r="B3" s="7" t="n">
        <x:v>2028</x:v>
      </x:c>
      <x:c r="C3" s="10" t="n">
        <x:v>8.8</x:v>
      </x:c>
      <x:c r="D3" s="12" t="n">
        <x:v>0.04</x:v>
      </x:c>
      <x:c r="E3" s="11" t="n">
        <x:f>C3*(1+D3)^(B3-2026)</x:f>
        <x:v>9.518080000000001</x:v>
      </x:c>
      <x:c r="F3" s="11" t="n">
        <x:f>E3-C3</x:f>
        <x:v>0.7180800000000005</x:v>
      </x:c>
      <x:c r="G3" s="12" t="n">
        <x:v>0.15</x:v>
      </x:c>
      <x:c r="H3" s="11" t="n">
        <x:f>F3*G3</x:f>
        <x:v>0.10771200000000007</x:v>
      </x:c>
      <x:c r="I3" s="11" t="n">
        <x:f>'TAM_to_SAM'!$I$8</x:f>
        <x:v>0.51</x:v>
      </x:c>
      <x:c r="J3" s="11" t="n">
        <x:f>'TAM_to_SAM'!$J$8</x:f>
        <x:v>1.12175</x:v>
      </x:c>
      <x:c r="K3" s="11" t="n">
        <x:f>'TAM_to_SAM'!$K$8</x:f>
        <x:v>1.9765000000000001</x:v>
      </x:c>
      <x:c r="L3" s="12" t="n">
        <x:f>H3/I3</x:f>
        <x:v>0.21120000000000014</x:v>
      </x:c>
      <x:c r="M3" s="12" t="n">
        <x:f>H3/J3</x:f>
        <x:v>0.09602139514152001</x:v>
      </x:c>
      <x:c r="N3" s="12" t="n">
        <x:f>H3/K3</x:f>
        <x:v>0.054496331899822954</x:v>
      </x:c>
      <x:c r="O3" s="7" t="str">
        <x:v>Healthcare is a modest growth contributor; easier to defend but less transformative.</x:v>
      </x:c>
    </x:row>
    <x:row r="4" ht="15" hidden="0" customHeight="1">
      <x:c r="A4" s="7" t="str">
        <x:v>Bear</x:v>
      </x:c>
      <x:c r="B4" s="7" t="n">
        <x:v>2029</x:v>
      </x:c>
      <x:c r="C4" s="10" t="n">
        <x:v>8.8</x:v>
      </x:c>
      <x:c r="D4" s="12" t="n">
        <x:v>0.04</x:v>
      </x:c>
      <x:c r="E4" s="11" t="n">
        <x:f>C4*(1+D4)^(B4-2026)</x:f>
        <x:v>9.898803200000001</x:v>
      </x:c>
      <x:c r="F4" s="11" t="n">
        <x:f>E4-C4</x:f>
        <x:v>1.0988032000000008</x:v>
      </x:c>
      <x:c r="G4" s="12" t="n">
        <x:v>0.15</x:v>
      </x:c>
      <x:c r="H4" s="11" t="n">
        <x:f>F4*G4</x:f>
        <x:v>0.1648204800000001</x:v>
      </x:c>
      <x:c r="I4" s="11" t="n">
        <x:f>'TAM_to_SAM'!$I$8</x:f>
        <x:v>0.51</x:v>
      </x:c>
      <x:c r="J4" s="11" t="n">
        <x:f>'TAM_to_SAM'!$J$8</x:f>
        <x:v>1.12175</x:v>
      </x:c>
      <x:c r="K4" s="11" t="n">
        <x:f>'TAM_to_SAM'!$K$8</x:f>
        <x:v>1.9765000000000001</x:v>
      </x:c>
      <x:c r="L4" s="12" t="n">
        <x:f>H4/I4</x:f>
        <x:v>0.3231774117647061</x:v>
      </x:c>
      <x:c r="M4" s="12" t="n">
        <x:f>H4/J4</x:f>
        <x:v>0.14693156229106316</x:v>
      </x:c>
      <x:c r="N4" s="12" t="n">
        <x:f>H4/K4</x:f>
        <x:v>0.08339007336200359</x:v>
      </x:c>
      <x:c r="O4" s="7" t="str">
        <x:v>Healthcare is a modest growth contributor; easier to defend but less transformative.</x:v>
      </x:c>
    </x:row>
    <x:row r="5" ht="15" hidden="0" customHeight="1">
      <x:c r="A5" s="7" t="str">
        <x:v>Base</x:v>
      </x:c>
      <x:c r="B5" s="7" t="n">
        <x:v>2027</x:v>
      </x:c>
      <x:c r="C5" s="10" t="n">
        <x:v>8.8</x:v>
      </x:c>
      <x:c r="D5" s="12" t="n">
        <x:v>0.05</x:v>
      </x:c>
      <x:c r="E5" s="11" t="n">
        <x:f>C5*(1+D5)^(B5-2026)</x:f>
        <x:v>9.240000000000002</x:v>
      </x:c>
      <x:c r="F5" s="11" t="n">
        <x:f>E5-C5</x:f>
        <x:v>0.4400000000000013</x:v>
      </x:c>
      <x:c r="G5" s="12" t="n">
        <x:v>0.25</x:v>
      </x:c>
      <x:c r="H5" s="11" t="n">
        <x:f>F5*G5</x:f>
        <x:v>0.11000000000000032</x:v>
      </x:c>
      <x:c r="I5" s="11" t="n">
        <x:f>'TAM_to_SAM'!$I$8</x:f>
        <x:v>0.51</x:v>
      </x:c>
      <x:c r="J5" s="11" t="n">
        <x:f>'TAM_to_SAM'!$J$8</x:f>
        <x:v>1.12175</x:v>
      </x:c>
      <x:c r="K5" s="11" t="n">
        <x:f>'TAM_to_SAM'!$K$8</x:f>
        <x:v>1.9765000000000001</x:v>
      </x:c>
      <x:c r="L5" s="12" t="n">
        <x:f>H5/I5</x:f>
        <x:v>0.21568627450980454</x:v>
      </x:c>
      <x:c r="M5" s="12" t="n">
        <x:f>H5/J5</x:f>
        <x:v>0.09806106529975513</x:v>
      </x:c>
      <x:c r="N5" s="12" t="n">
        <x:f>H5/K5</x:f>
        <x:v>0.05565393372122454</x:v>
      </x:c>
      <x:c r="O5" s="7" t="str">
        <x:v>Meaningful contribution; plausible only with visible Custom Critical / specialty wins.</x:v>
      </x:c>
    </x:row>
    <x:row r="6" ht="15" hidden="0" customHeight="1">
      <x:c r="A6" s="7" t="str">
        <x:v>Base</x:v>
      </x:c>
      <x:c r="B6" s="7" t="n">
        <x:v>2028</x:v>
      </x:c>
      <x:c r="C6" s="10" t="n">
        <x:v>8.8</x:v>
      </x:c>
      <x:c r="D6" s="12" t="n">
        <x:v>0.05</x:v>
      </x:c>
      <x:c r="E6" s="11" t="n">
        <x:f>C6*(1+D6)^(B6-2026)</x:f>
        <x:v>9.702000000000002</x:v>
      </x:c>
      <x:c r="F6" s="11" t="n">
        <x:f>E6-C6</x:f>
        <x:v>0.902000000000001</x:v>
      </x:c>
      <x:c r="G6" s="12" t="n">
        <x:v>0.25</x:v>
      </x:c>
      <x:c r="H6" s="11" t="n">
        <x:f>F6*G6</x:f>
        <x:v>0.22550000000000026</x:v>
      </x:c>
      <x:c r="I6" s="11" t="n">
        <x:f>'TAM_to_SAM'!$I$8</x:f>
        <x:v>0.51</x:v>
      </x:c>
      <x:c r="J6" s="11" t="n">
        <x:f>'TAM_to_SAM'!$J$8</x:f>
        <x:v>1.12175</x:v>
      </x:c>
      <x:c r="K6" s="11" t="n">
        <x:f>'TAM_to_SAM'!$K$8</x:f>
        <x:v>1.9765000000000001</x:v>
      </x:c>
      <x:c r="L6" s="12" t="n">
        <x:f>H6/I6</x:f>
        <x:v>0.4421568627450985</x:v>
      </x:c>
      <x:c r="M6" s="12" t="n">
        <x:f>H6/J6</x:f>
        <x:v>0.20102518386449766</x:v>
      </x:c>
      <x:c r="N6" s="12" t="n">
        <x:f>H6/K6</x:f>
        <x:v>0.11409056412851011</x:v>
      </x:c>
      <x:c r="O6" s="7" t="str">
        <x:v>Meaningful contribution; plausible only with visible Custom Critical / specialty wins.</x:v>
      </x:c>
    </x:row>
    <x:row r="7" ht="15" hidden="0" customHeight="1">
      <x:c r="A7" s="7" t="str">
        <x:v>Base</x:v>
      </x:c>
      <x:c r="B7" s="7" t="n">
        <x:v>2029</x:v>
      </x:c>
      <x:c r="C7" s="10" t="n">
        <x:v>8.8</x:v>
      </x:c>
      <x:c r="D7" s="12" t="n">
        <x:v>0.05</x:v>
      </x:c>
      <x:c r="E7" s="11" t="n">
        <x:f>C7*(1+D7)^(B7-2026)</x:f>
        <x:v>10.187100000000003</x:v>
      </x:c>
      <x:c r="F7" s="11" t="n">
        <x:f>E7-C7</x:f>
        <x:v>1.387100000000002</x:v>
      </x:c>
      <x:c r="G7" s="12" t="n">
        <x:v>0.25</x:v>
      </x:c>
      <x:c r="H7" s="11" t="n">
        <x:f>F7*G7</x:f>
        <x:v>0.3467750000000005</x:v>
      </x:c>
      <x:c r="I7" s="11" t="n">
        <x:f>'TAM_to_SAM'!$I$8</x:f>
        <x:v>0.51</x:v>
      </x:c>
      <x:c r="J7" s="11" t="n">
        <x:f>'TAM_to_SAM'!$J$8</x:f>
        <x:v>1.12175</x:v>
      </x:c>
      <x:c r="K7" s="11" t="n">
        <x:f>'TAM_to_SAM'!$K$8</x:f>
        <x:v>1.9765000000000001</x:v>
      </x:c>
      <x:c r="L7" s="12" t="n">
        <x:f>H7/I7</x:f>
        <x:v>0.6799509803921578</x:v>
      </x:c>
      <x:c r="M7" s="12" t="n">
        <x:f>H7/J7</x:f>
        <x:v>0.3091375083574776</x:v>
      </x:c>
      <x:c r="N7" s="12" t="n">
        <x:f>H7/K7</x:f>
        <x:v>0.1754490260561601</x:v>
      </x:c>
      <x:c r="O7" s="7" t="str">
        <x:v>Meaningful contribution; plausible only with visible Custom Critical / specialty wins.</x:v>
      </x:c>
    </x:row>
    <x:row r="8" ht="15" hidden="0" customHeight="1">
      <x:c r="A8" s="7" t="str">
        <x:v>Bull</x:v>
      </x:c>
      <x:c r="B8" s="7" t="n">
        <x:v>2027</x:v>
      </x:c>
      <x:c r="C8" s="10" t="n">
        <x:v>8.8</x:v>
      </x:c>
      <x:c r="D8" s="12" t="n">
        <x:v>0.06</x:v>
      </x:c>
      <x:c r="E8" s="11" t="n">
        <x:f>C8*(1+D8)^(B8-2026)</x:f>
        <x:v>9.328000000000001</x:v>
      </x:c>
      <x:c r="F8" s="11" t="n">
        <x:f>E8-C8</x:f>
        <x:v>0.5280000000000005</x:v>
      </x:c>
      <x:c r="G8" s="12" t="n">
        <x:v>0.4</x:v>
      </x:c>
      <x:c r="H8" s="11" t="n">
        <x:f>F8*G8</x:f>
        <x:v>0.2112000000000002</x:v>
      </x:c>
      <x:c r="I8" s="11" t="n">
        <x:f>'TAM_to_SAM'!$I$8</x:f>
        <x:v>0.51</x:v>
      </x:c>
      <x:c r="J8" s="11" t="n">
        <x:f>'TAM_to_SAM'!$J$8</x:f>
        <x:v>1.12175</x:v>
      </x:c>
      <x:c r="K8" s="11" t="n">
        <x:f>'TAM_to_SAM'!$K$8</x:f>
        <x:v>1.9765000000000001</x:v>
      </x:c>
      <x:c r="L8" s="12" t="n">
        <x:f>H8/I8</x:f>
        <x:v>0.4141176470588239</x:v>
      </x:c>
      <x:c r="M8" s="12" t="n">
        <x:f>H8/J8</x:f>
        <x:v>0.18827724537552948</x:v>
      </x:c>
      <x:c r="N8" s="12" t="n">
        <x:f>H8/K8</x:f>
        <x:v>0.1068555527447509</x:v>
      </x:c>
      <x:c r="O8" s="7" t="str">
        <x:v>Aggressive contribution; difficult without evidence of capability expansion and named wins.</x:v>
      </x:c>
    </x:row>
    <x:row r="9" ht="15" hidden="0" customHeight="1">
      <x:c r="A9" s="7" t="str">
        <x:v>Bull</x:v>
      </x:c>
      <x:c r="B9" s="7" t="n">
        <x:v>2028</x:v>
      </x:c>
      <x:c r="C9" s="10" t="n">
        <x:v>8.8</x:v>
      </x:c>
      <x:c r="D9" s="12" t="n">
        <x:v>0.06</x:v>
      </x:c>
      <x:c r="E9" s="11" t="n">
        <x:f>C9*(1+D9)^(B9-2026)</x:f>
        <x:v>9.887680000000001</x:v>
      </x:c>
      <x:c r="F9" s="11" t="n">
        <x:f>E9-C9</x:f>
        <x:v>1.0876800000000006</x:v>
      </x:c>
      <x:c r="G9" s="12" t="n">
        <x:v>0.4</x:v>
      </x:c>
      <x:c r="H9" s="11" t="n">
        <x:f>F9*G9</x:f>
        <x:v>0.4350720000000003</x:v>
      </x:c>
      <x:c r="I9" s="11" t="n">
        <x:f>'TAM_to_SAM'!$I$8</x:f>
        <x:v>0.51</x:v>
      </x:c>
      <x:c r="J9" s="11" t="n">
        <x:f>'TAM_to_SAM'!$J$8</x:f>
        <x:v>1.12175</x:v>
      </x:c>
      <x:c r="K9" s="11" t="n">
        <x:f>'TAM_to_SAM'!$K$8</x:f>
        <x:v>1.9765000000000001</x:v>
      </x:c>
      <x:c r="L9" s="12" t="n">
        <x:f>H9/I9</x:f>
        <x:v>0.8530823529411771</x:v>
      </x:c>
      <x:c r="M9" s="12" t="n">
        <x:f>H9/J9</x:f>
        <x:v>0.38785112547359063</x:v>
      </x:c>
      <x:c r="N9" s="12" t="n">
        <x:f>H9/K9</x:f>
        <x:v>0.22012243865418682</x:v>
      </x:c>
      <x:c r="O9" s="7" t="str">
        <x:v>Aggressive contribution; difficult without evidence of capability expansion and named wins.</x:v>
      </x:c>
    </x:row>
    <x:row r="10" ht="15" hidden="0" customHeight="1">
      <x:c r="A10" s="7" t="str">
        <x:v>Bull</x:v>
      </x:c>
      <x:c r="B10" s="7" t="n">
        <x:v>2029</x:v>
      </x:c>
      <x:c r="C10" s="10" t="n">
        <x:v>8.8</x:v>
      </x:c>
      <x:c r="D10" s="12" t="n">
        <x:v>0.06</x:v>
      </x:c>
      <x:c r="E10" s="11" t="n">
        <x:f>C10*(1+D10)^(B10-2026)</x:f>
        <x:v>10.4809408</x:v>
      </x:c>
      <x:c r="F10" s="11" t="n">
        <x:f>E10-C10</x:f>
        <x:v>1.6809408000000001</x:v>
      </x:c>
      <x:c r="G10" s="12" t="n">
        <x:v>0.4</x:v>
      </x:c>
      <x:c r="H10" s="11" t="n">
        <x:f>F10*G10</x:f>
        <x:v>0.6723763200000001</x:v>
      </x:c>
      <x:c r="I10" s="11" t="n">
        <x:f>'TAM_to_SAM'!$I$8</x:f>
        <x:v>0.51</x:v>
      </x:c>
      <x:c r="J10" s="11" t="n">
        <x:f>'TAM_to_SAM'!$J$8</x:f>
        <x:v>1.12175</x:v>
      </x:c>
      <x:c r="K10" s="11" t="n">
        <x:f>'TAM_to_SAM'!$K$8</x:f>
        <x:v>1.9765000000000001</x:v>
      </x:c>
      <x:c r="L10" s="12" t="n">
        <x:f>H10/I10</x:f>
        <x:v>1.3183849411764708</x:v>
      </x:c>
      <x:c r="M10" s="12" t="n">
        <x:f>H10/J10</x:f>
        <x:v>0.5993994383775352</x:v>
      </x:c>
      <x:c r="N10" s="12" t="n">
        <x:f>H10/K10</x:f>
        <x:v>0.34018533771818876</x:v>
      </x:c>
      <x:c r="O10" s="7" t="str">
        <x:v>Aggressive contribution; difficult without evidence of capability expansion and named wins.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880001068115234" hidden="0" customWidth="1"/>
    <x:col min="2" max="2" width="69.12999725341797" hidden="0" customWidth="1"/>
    <x:col min="3" max="3" width="97.5" hidden="0" customWidth="1"/>
    <x:col min="4" max="4" width="117.12999725341797" hidden="0" customWidth="1"/>
    <x:col min="5" max="5" width="104.12999725341797" hidden="0" customWidth="1"/>
    <x:col min="6" max="6" width="89.25" hidden="0" customWidth="1"/>
    <x:col min="7" max="7" width="75.75" hidden="0" customWidth="1"/>
    <x:col min="8" max="8" width="86.5" hidden="0" customWidth="1"/>
    <x:col min="9" max="9" width="109" hidden="0" customWidth="1"/>
    <x:col min="10" max="10" width="74.12999725341797" hidden="0" customWidth="1"/>
    <x:col min="11" max="11" width="89.87999725341797" hidden="0" customWidth="1"/>
  </x:cols>
  <x:sheetData>
    <x:row r="1" ht="15" hidden="0" customHeight="1">
      <x:c r="A1" s="5" t="str">
        <x:v>Provider</x:v>
      </x:c>
      <x:c r="B1" s="5" t="str">
        <x:v>Relevant business</x:v>
      </x:c>
      <x:c r="C1" s="5" t="str">
        <x:v>Healthcare logistics revenue / scale</x:v>
      </x:c>
      <x:c r="D1" s="5" t="str">
        <x:v>Facilities / cold-chain footprint</x:v>
      </x:c>
      <x:c r="E1" s="5" t="str">
        <x:v>Transport capability</x:v>
      </x:c>
      <x:c r="F1" s="5" t="str">
        <x:v>Visibility / quality system</x:v>
      </x:c>
      <x:c r="G1" s="5" t="str">
        <x:v>Recent healthcare investment or acquisition</x:v>
      </x:c>
      <x:c r="H1" s="5" t="str">
        <x:v>Customer / win evidence</x:v>
      </x:c>
      <x:c r="I1" s="5" t="str">
        <x:v>Implication for FDXF</x:v>
      </x:c>
      <x:c r="J1" s="5" t="str">
        <x:v>Source_IDs</x:v>
      </x:c>
      <x:c r="K1" s="5" t="str">
        <x:v>Source_URLs</x:v>
      </x:c>
    </x:row>
    <x:row r="2" ht="15" hidden="0" customHeight="1">
      <x:c r="A2" s="7" t="str">
        <x:v>FedEx Freight / Custom Critical</x:v>
      </x:c>
      <x:c r="B2" s="7" t="str">
        <x:v>LTL, Custom Critical, Freight Direct and specialty services</x:v>
      </x:c>
      <x:c r="C2" s="7" t="str">
        <x:v>FY2026 FDXF revenue $8.8B; Custom Critical within 3% Other with Freight Direct/specialty, exact healthcare revenue not disclosed.</x:v>
      </x:c>
      <x:c r="D2" s="7" t="str">
        <x:v>Large LTL network; no public FDXF-specific count of GDP/cGMP healthcare facilities found.</x:v>
      </x:c>
      <x:c r="E2" s="7" t="str">
        <x:v>Surface Expedite, White Glove, temperature-control capability; 24/7/365 time-specific critical shipments.</x:v>
      </x:c>
      <x:c r="F2" s="7" t="str">
        <x:v>FedEx Corp healthcare tools include Surround, SenseAware and Priority Alert; FDXF-specific deployment not quantified.</x:v>
      </x:c>
      <x:c r="G2" s="7" t="str">
        <x:v>2026 strategy explicitly highlights healthcare/pharma/life sciences opportunity.</x:v>
      </x:c>
      <x:c r="H2" s="7" t="str">
        <x:v>No named revenue-sized FDXF healthcare win found in public scan.</x:v>
      </x:c>
      <x:c r="I2" s="7" t="str">
        <x:v>Real capability exists, especially for urgent and exception freight; evidence gap remains on scaled healthcare account wins.</x:v>
      </x:c>
      <x:c r="J2" s="7" t="str">
        <x:v>FDX_Q4_FY26; FDX_INV_DAY_P35; FDX_INV_DAY_P44; FDX_CUSTOM_CRITICAL; FDX_HEALTHCARE</x:v>
      </x:c>
      <x:c r="K2" s="7" t="str">
        <x:v>See Sources</x:v>
      </x:c>
    </x:row>
    <x:row r="3" ht="15" hidden="0" customHeight="1">
      <x:c r="A3" s="7" t="str">
        <x:v>UPS Healthcare / Andlauer / Marken ecosystem</x:v>
      </x:c>
      <x:c r="B3" s="7" t="str">
        <x:v>Global healthcare logistics, parcel, cold chain, 3PL and specialized transportation</x:v>
      </x:c>
      <x:c r="C3" s="7" t="str">
        <x:v>UPS Healthcare cites 19.2M+ sq ft of cGMP/GDP-compliant healthcare distribution space globally.</x:v>
      </x:c>
      <x:c r="D3" s="7" t="str">
        <x:v>Large healthcare distribution footprint; AHG adds Canadian cold-chain and specialized transportation.</x:v>
      </x:c>
      <x:c r="E3" s="7" t="str">
        <x:v>Temperature-controlled logistics, storage/fulfillment, lab and clinical-trial logistics.</x:v>
      </x:c>
      <x:c r="F3" s="7" t="str">
        <x:v>UPS Premier, track-and-trace, global quality system.</x:v>
      </x:c>
      <x:c r="G3" s="7" t="str">
        <x:v>Agreed to acquire Andlauer Healthcare Group for CAD $2.2B / USD $1.6B in 2025.</x:v>
      </x:c>
      <x:c r="H3" s="7" t="str">
        <x:v>Acquisition itself is strong evidence of strategic commitment; customer-level revenue not disclosed in cited release.</x:v>
      </x:c>
      <x:c r="I3" s="7" t="str">
        <x:v>UPS appears ahead in dedicated healthcare infrastructure; FDXF must win on network density, critical freight and account service.</x:v>
      </x:c>
      <x:c r="J3" s="7" t="str">
        <x:v>UPS_AHG</x:v>
      </x:c>
      <x:c r="K3" s="7" t="str">
        <x:v>https://developer.ups.com/us/en/healthcare/news/press-releases/ups-to-aquire-andlauer-healthcare-group</x:v>
      </x:c>
    </x:row>
    <x:row r="4" ht="15" hidden="0" customHeight="1">
      <x:c r="A4" s="7" t="str">
        <x:v>DHL Health Logistics</x:v>
      </x:c>
      <x:c r="B4" s="7" t="str">
        <x:v>Global life sciences and healthcare logistics across storage, fulfillment, shipping and last mile</x:v>
      </x:c>
      <x:c r="C4" s="7" t="str">
        <x:v>DHL says life sciences/healthcare contributed over EUR5B global revenue in 2024.</x:v>
      </x:c>
      <x:c r="D4" s="7" t="str">
        <x:v>Nearly 600 dedicated sites/hubs/warehouses in close to 130 countries; more than 2.5M sqm temperature-controlled warehouse space.</x:v>
      </x:c>
      <x:c r="E4" s="7" t="str">
        <x:v>Multi-temperature lanes, cold-chain capacity, vehicles, passive/active packaging; dedicated airfreight cold-chain network expanded in 2026.</x:v>
      </x:c>
      <x:c r="F4" s="7" t="str">
        <x:v>End-to-end visibility and IT systems emphasized.</x:v>
      </x:c>
      <x:c r="G4" s="7" t="str">
        <x:v>EUR2B investment by 2030; 50% allocated to the Americas.</x:v>
      </x:c>
      <x:c r="H4" s="7" t="str">
        <x:v>Strategic investment and 2026 cold-chain network expansion; customer-level revenue not disclosed in cited release.</x:v>
      </x:c>
      <x:c r="I4" s="7" t="str">
        <x:v>DHL sets a high bar for global healthcare infrastructure; FDXF opportunity likely domestic/time-critical rather than full global pharma supply chain.</x:v>
      </x:c>
      <x:c r="J4" s="7" t="str">
        <x:v>DHL_INVEST; DHL_AIR_COLD</x:v>
      </x:c>
      <x:c r="K4" s="7" t="str">
        <x:v>https://group.dhl.com/en/media-relations/press-releases/2025/dhl-group-to-invest-2-billion-in-dhl-health-logistics.html</x:v>
      </x:c>
    </x:row>
    <x:row r="5" ht="15" hidden="0" customHeight="1">
      <x:c r="A5" s="7" t="str">
        <x:v>World Courier / Cencora</x:v>
      </x:c>
      <x:c r="B5" s="7" t="str">
        <x:v>Specialty pharma, clinical trial logistics, advanced therapies and cold chain</x:v>
      </x:c>
      <x:c r="C5" s="7" t="str">
        <x:v>World Courier cites 4,000+ team members and 120+ company-owned facilities across 50+ countries.</x:v>
      </x:c>
      <x:c r="D5" s="7" t="str">
        <x:v>22 strategic depots; Cencora says over 140 logistics/warehousing sites globally; World Courier North America network to 17 sites after announced expansion.</x:v>
      </x:c>
      <x:c r="E5" s="7" t="str">
        <x:v>Specialty cold chain, cryogenic transport, clinical trial supply and direct-to-patient capabilities.</x:v>
      </x:c>
      <x:c r="F5" s="7" t="str">
        <x:v>Real-time location monitoring and quality assurance described.</x:v>
      </x:c>
      <x:c r="G5" s="7" t="str">
        <x:v>2023 U.S. transport-station expansion in Denver, Indianapolis and San Diego.</x:v>
      </x:c>
      <x:c r="H5" s="7" t="str">
        <x:v>Strong specialty-pharma service evidence; mostly not LTL competitor in broad freight.</x:v>
      </x:c>
      <x:c r="I5" s="7" t="str">
        <x:v>World Courier competes for the most specialized/high-value portion of the $6B headline, limiting FDXF serviceable share.</x:v>
      </x:c>
      <x:c r="J5" s="7" t="str">
        <x:v>WORLD_COURIER; CENCORA_CLINICAL; WORLD_COURIER_US_EXP</x:v>
      </x:c>
      <x:c r="K5" s="7" t="str">
        <x:v>See Sources</x:v>
      </x:c>
    </x:row>
    <x:row r="6" ht="15" hidden="0" customHeight="1">
      <x:c r="A6" s="7" t="str">
        <x:v>Traditional LTL peers</x:v>
      </x:c>
      <x:c r="B6" s="7" t="str">
        <x:v>ODFL, XPO, Saia and other national/regional LTL carriers</x:v>
      </x:c>
      <x:c r="C6" s="7" t="str">
        <x:v>Healthcare-specific revenue generally not disclosed in public sources reviewed.</x:v>
      </x:c>
      <x:c r="D6" s="7" t="str">
        <x:v>LTL terminal networks; healthcare-specific cold-chain/cGMP footprints not broadly disclosed.</x:v>
      </x:c>
      <x:c r="E6" s="7" t="str">
        <x:v>General LTL reliability, claims prevention and appointment handling.</x:v>
      </x:c>
      <x:c r="F6" s="7" t="str">
        <x:v>Carrier-specific service metrics, not healthcare-specific in this workbook.</x:v>
      </x:c>
      <x:c r="G6" s="7" t="str">
        <x:v>No material healthcare-specific acquisition/investment comparable to UPS/DHL found in source scan.</x:v>
      </x:c>
      <x:c r="H6" s="7" t="str">
        <x:v>No named healthcare wins compiled for this phase.</x:v>
      </x:c>
      <x:c r="I6" s="7" t="str">
        <x:v>These carriers pressure generic LTL pricing; FDXF differentiation depends on Custom Critical and FedEx account breadth.</x:v>
      </x:c>
      <x:c r="J6" s="7" t="str">
        <x:v>PUBLIC_SCAN</x:v>
      </x:c>
      <x:c r="K6" s="7" t="str">
        <x:v>N/A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30.75" hidden="0" customWidth="1"/>
    <x:col min="3" max="3" width="111.12999725341797" hidden="0" customWidth="1"/>
    <x:col min="4" max="4" width="105.87999725341797" hidden="0" customWidth="1"/>
    <x:col min="5" max="5" width="32.880001068115234" hidden="0" customWidth="1"/>
    <x:col min="6" max="6" width="67.87999725341797" hidden="0" customWidth="1"/>
    <x:col min="7" max="7" width="91.12999725341797" hidden="0" customWidth="1"/>
  </x:cols>
  <x:sheetData>
    <x:row r="1" ht="15" hidden="0" customHeight="1">
      <x:c r="A1" s="5" t="str">
        <x:v>Capability</x:v>
      </x:c>
      <x:c r="B1" s="5" t="str">
        <x:v>Designation</x:v>
      </x:c>
      <x:c r="C1" s="5" t="str">
        <x:v>Evidence</x:v>
      </x:c>
      <x:c r="D1" s="5" t="str">
        <x:v>Quantitative evidence</x:v>
      </x:c>
      <x:c r="E1" s="5" t="str">
        <x:v>Source_IDs</x:v>
      </x:c>
      <x:c r="F1" s="5" t="str">
        <x:v>Source_URL</x:v>
      </x:c>
      <x:c r="G1" s="5" t="str">
        <x:v>Open diligence item</x:v>
      </x:c>
    </x:row>
    <x:row r="2" ht="15" hidden="0" customHeight="1">
      <x:c r="A2" s="7" t="str">
        <x:v>Headline healthcare market access</x:v>
      </x:c>
      <x:c r="B2" s="7" t="str">
        <x:v>Advantage</x:v>
      </x:c>
      <x:c r="C2" s="7" t="str">
        <x:v>Management specifically identifies healthcare/pharma/life sciences as a high-quality revenue opportunity tied to Custom Critical.</x:v>
      </x:c>
      <x:c r="D2" s="7" t="str">
        <x:v>$6B headline opportunity.</x:v>
      </x:c>
      <x:c r="E2" s="7" t="str">
        <x:v>FDX_INV_DAY_P44</x:v>
      </x:c>
      <x:c r="F2" s="7" t="str">
        <x:v>https://ir.fedexfreight.com/news-events/events-presentation/20260408-investor-day-2026</x:v>
      </x:c>
      <x:c r="G2" s="7" t="str">
        <x:v>Obtain management definition of included freight modes and geography.</x:v>
      </x:c>
    </x:row>
    <x:row r="3" ht="15" hidden="0" customHeight="1">
      <x:c r="A3" s="7" t="str">
        <x:v>Core network density</x:v>
      </x:c>
      <x:c r="B3" s="7" t="str">
        <x:v>Advantage</x:v>
      </x:c>
      <x:c r="C3" s="7" t="str">
        <x:v>FedEx Freight has a large North American LTL platform and long-tenured customer base.</x:v>
      </x:c>
      <x:c r="D3" s="7" t="str">
        <x:v>Event page cites nearly 30,000 vehicles, nearly 17,000 tractors, 40,000 team members, and 365+ locations; deck cites ~140K active customers.</x:v>
      </x:c>
      <x:c r="E3" s="7" t="str">
        <x:v>FDX_EVENT; FDX_INV_DAY_P37</x:v>
      </x:c>
      <x:c r="F3" s="7" t="str">
        <x:v>https://ir.fedexfreight.com/news-events/events-presentation/20260408-investor-day-2026</x:v>
      </x:c>
      <x:c r="G3" s="7" t="str">
        <x:v>Map healthcare shipper / consignee density against FDXF network lanes.</x:v>
      </x:c>
    </x:row>
    <x:row r="4" ht="15" hidden="0" customHeight="1">
      <x:c r="A4" s="7" t="str">
        <x:v>Custom Critical / urgent freight</x:v>
      </x:c>
      <x:c r="B4" s="7" t="str">
        <x:v>Advantage</x:v>
      </x:c>
      <x:c r="C4" s="7" t="str">
        <x:v>FedEx Custom Critical offers time-specific critical shipments 24/7/365, Surface Expedite and White Glove services.</x:v>
      </x:c>
      <x:c r="D4" s="7" t="str">
        <x:v>Service page states 24 hours a day, 365 days a year; no scheduled runs.</x:v>
      </x:c>
      <x:c r="E4" s="7" t="str">
        <x:v>FDX_CUSTOM_CRITICAL</x:v>
      </x:c>
      <x:c r="F4" s="7" t="str">
        <x:v>https://customcritical.fedex.com/us/owneroperator/overview/default.shtml</x:v>
      </x:c>
      <x:c r="G4" s="7" t="str">
        <x:v>Quantify Custom Critical revenue, healthcare mix and win rates.</x:v>
      </x:c>
    </x:row>
    <x:row r="5" ht="15" hidden="0" customHeight="1">
      <x:c r="A5" s="7" t="str">
        <x:v>Temperature control</x:v>
      </x:c>
      <x:c r="B5" s="7" t="str">
        <x:v>Partial advantage</x:v>
      </x:c>
      <x:c r="C5" s="7" t="str">
        <x:v>Custom Critical White Glove includes special handling such as temperature control; FedEx healthcare pages describe temperature-controlled options.</x:v>
      </x:c>
      <x:c r="D5" s="7" t="str">
        <x:v>No public FDXF-specific GDP/cGMP cold-chain footprint count found.</x:v>
      </x:c>
      <x:c r="E5" s="7" t="str">
        <x:v>FDX_CUSTOM_CRITICAL; FDX_HEALTHCARE</x:v>
      </x:c>
      <x:c r="F5" s="7" t="str">
        <x:v>https://images.fedex.com/en-us/healthcare.html</x:v>
      </x:c>
      <x:c r="G5" s="7" t="str">
        <x:v>Confirm validated temperature lanes, SOPs, certifications and healthcare quality systems.</x:v>
      </x:c>
    </x:row>
    <x:row r="6" ht="15" hidden="0" customHeight="1">
      <x:c r="A6" s="7" t="str">
        <x:v>Healthcare visibility tools</x:v>
      </x:c>
      <x:c r="B6" s="7" t="str">
        <x:v>Partial advantage</x:v>
      </x:c>
      <x:c r="C6" s="7" t="str">
        <x:v>FedEx Corp offers Surround, SenseAware and Priority Alert for monitoring/intervention.</x:v>
      </x:c>
      <x:c r="D6" s="7" t="str">
        <x:v>Near real-time / real-time visibility described, but FDXF-specific penetration not quantified.</x:v>
      </x:c>
      <x:c r="E6" s="7" t="str">
        <x:v>FDX_HEALTHCARE</x:v>
      </x:c>
      <x:c r="F6" s="7" t="str">
        <x:v>https://images.fedex.com/en-us/healthcare.html</x:v>
      </x:c>
      <x:c r="G6" s="7" t="str">
        <x:v>Confirm whether FDXF healthcare freight uses these tools routinely.</x:v>
      </x:c>
    </x:row>
    <x:row r="7" ht="15" hidden="0" customHeight="1">
      <x:c r="A7" s="7" t="str">
        <x:v>Public customer proof</x:v>
      </x:c>
      <x:c r="B7" s="7" t="str">
        <x:v>Disadvantage / data gap</x:v>
      </x:c>
      <x:c r="C7" s="7" t="str">
        <x:v>No named, revenue-sized FedEx Freight healthcare win identified in the public 2021-2026 source scan.</x:v>
      </x:c>
      <x:c r="D7" s="7" t="str">
        <x:v>N/A</x:v>
      </x:c>
      <x:c r="E7" s="7" t="str">
        <x:v>PUBLIC_SCAN</x:v>
      </x:c>
      <x:c r="F7" s="7" t="str">
        <x:v>N/A</x:v>
      </x:c>
      <x:c r="G7" s="7" t="str">
        <x:v>Ask management for named references, pipeline conversion and retained-account examples.</x:v>
      </x:c>
    </x:row>
    <x:row r="8" ht="15" hidden="0" customHeight="1">
      <x:c r="A8" s="7" t="str">
        <x:v>Competitive infrastructure</x:v>
      </x:c>
      <x:c r="B8" s="7" t="str">
        <x:v>Disadvantage vs UPS/DHL/World Courier</x:v>
      </x:c>
      <x:c r="C8" s="7" t="str">
        <x:v>Competitors disclose larger, healthcare-specific cold-chain and GDP/cGMP footprints.</x:v>
      </x:c>
      <x:c r="D8" s="7" t="str">
        <x:v>UPS 19.2M+ sq ft; DHL nearly 600 sites and &gt;2.5M sqm temperature-controlled warehouse space; World Courier 120+ facilities.</x:v>
      </x:c>
      <x:c r="E8" s="7" t="str">
        <x:v>UPS_AHG; DHL_INVEST; WORLD_COURIER</x:v>
      </x:c>
      <x:c r="F8" s="7" t="str">
        <x:v>See Sources</x:v>
      </x:c>
      <x:c r="G8" s="7" t="str">
        <x:v>Determine whether FDXF is targeting a narrower domestic LTL/time-critical niche rather than end-to-end pharma logistics.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17.25" hidden="0" customWidth="1"/>
    <x:col min="3" max="3" width="17.75" hidden="0" customWidth="1"/>
    <x:col min="4" max="4" width="27" hidden="0" customWidth="1"/>
    <x:col min="5" max="5" width="25.1299991607666" hidden="0" customWidth="1"/>
    <x:col min="6" max="6" width="64.5" hidden="0" customWidth="1"/>
    <x:col min="7" max="7" width="23.8799991607666" hidden="0" customWidth="1"/>
    <x:col min="8" max="8" width="38.5" hidden="0" customWidth="1"/>
    <x:col min="9" max="9" width="24.8799991607666" hidden="0" customWidth="1"/>
    <x:col min="10" max="10" width="30.25" hidden="0" customWidth="1"/>
    <x:col min="11" max="11" width="20.5" hidden="0" customWidth="1"/>
    <x:col min="12" max="12" width="99.75" hidden="0" customWidth="1"/>
    <x:col min="13" max="13" width="55.130001068115234" hidden="0" customWidth="1"/>
  </x:cols>
  <x:sheetData>
    <x:row r="1" ht="15" hidden="0" customHeight="1">
      <x:c r="A1" s="5" t="str">
        <x:v>Company</x:v>
      </x:c>
      <x:c r="B1" s="5" t="str">
        <x:v>Date</x:v>
      </x:c>
      <x:c r="C1" s="5" t="str">
        <x:v>Customer disclosed?</x:v>
      </x:c>
      <x:c r="D1" s="5" t="str">
        <x:v>Customer / counterparty</x:v>
      </x:c>
      <x:c r="E1" s="5" t="str">
        <x:v>Vertical</x:v>
      </x:c>
      <x:c r="F1" s="5" t="str">
        <x:v>Service / transaction</x:v>
      </x:c>
      <x:c r="G1" s="5" t="str">
        <x:v>Geography</x:v>
      </x:c>
      <x:c r="H1" s="5" t="str">
        <x:v>Size disclosed</x:v>
      </x:c>
      <x:c r="I1" s="5" t="str">
        <x:v>Evidence type</x:v>
      </x:c>
      <x:c r="J1" s="5" t="str">
        <x:v>FDXF relevance</x:v>
      </x:c>
      <x:c r="K1" s="5" t="str">
        <x:v>Source_IDs</x:v>
      </x:c>
      <x:c r="L1" s="5" t="str">
        <x:v>Source_URL</x:v>
      </x:c>
      <x:c r="M1" s="5" t="str">
        <x:v>Notes</x:v>
      </x:c>
    </x:row>
    <x:row r="2" ht="15" hidden="0" customHeight="1">
      <x:c r="A2" s="7" t="str">
        <x:v>FedEx Freight / Custom Critical</x:v>
      </x:c>
      <x:c r="B2" s="7" t="str">
        <x:v>2026-04-08</x:v>
      </x:c>
      <x:c r="C2" s="7" t="str">
        <x:v>No</x:v>
      </x:c>
      <x:c r="D2" s="7" t="str">
        <x:v>Not disclosed</x:v>
      </x:c>
      <x:c r="E2" s="7" t="str">
        <x:v>Healthcare, pharma, life sciences</x:v>
      </x:c>
      <x:c r="F2" s="7" t="str">
        <x:v>Management target opportunity tied to Custom Critical.</x:v>
      </x:c>
      <x:c r="G2" s="7" t="str">
        <x:v>Not disclosed</x:v>
      </x:c>
      <x:c r="H2" s="7" t="str">
        <x:v>$6B headline TAM, not a win size.</x:v>
      </x:c>
      <x:c r="I2" s="7" t="str">
        <x:v>Management strategy statement</x:v>
      </x:c>
      <x:c r="J2" s="7" t="str">
        <x:v>High as strategy; low as customer proof.</x:v>
      </x:c>
      <x:c r="K2" s="7" t="str">
        <x:v>FDX_INV_DAY_P44</x:v>
      </x:c>
      <x:c r="L2" s="7" t="str">
        <x:v>https://ir.fedexfreight.com/news-events/events-presentation/20260408-investor-day-2026</x:v>
      </x:c>
      <x:c r="M2" s="7" t="str">
        <x:v>This is not a named customer win.</x:v>
      </x:c>
    </x:row>
    <x:row r="3" ht="15" hidden="0" customHeight="1">
      <x:c r="A3" s="7" t="str">
        <x:v>FedEx Corp healthcare</x:v>
      </x:c>
      <x:c r="B3" s="7" t="str">
        <x:v>Accessed 2026-08-11</x:v>
      </x:c>
      <x:c r="C3" s="7" t="str">
        <x:v>No</x:v>
      </x:c>
      <x:c r="D3" s="7" t="str">
        <x:v>Not disclosed</x:v>
      </x:c>
      <x:c r="E3" s="7" t="str">
        <x:v>Healthcare</x:v>
      </x:c>
      <x:c r="F3" s="7" t="str">
        <x:v>Surround, SenseAware, Priority Alert and temperature-controlled healthcare shipping.</x:v>
      </x:c>
      <x:c r="G3" s="7" t="str">
        <x:v>Global / U.S. service pages</x:v>
      </x:c>
      <x:c r="H3" s="7" t="str">
        <x:v>Not disclosed</x:v>
      </x:c>
      <x:c r="I3" s="7" t="str">
        <x:v>Capability evidence</x:v>
      </x:c>
      <x:c r="J3" s="7" t="str">
        <x:v>Indirect; not FDXF-specific.</x:v>
      </x:c>
      <x:c r="K3" s="7" t="str">
        <x:v>FDX_HEALTHCARE</x:v>
      </x:c>
      <x:c r="L3" s="7" t="str">
        <x:v>https://images.fedex.com/en-us/healthcare.html</x:v>
      </x:c>
      <x:c r="M3" s="7" t="str">
        <x:v>Useful to contradict pure-capability bearish thesis, but not revenue proof.</x:v>
      </x:c>
    </x:row>
    <x:row r="4" ht="15" hidden="0" customHeight="1">
      <x:c r="A4" s="7" t="str">
        <x:v>FedEx Freight / Custom Critical</x:v>
      </x:c>
      <x:c r="B4" s="7" t="str">
        <x:v>2021-2026 public scan</x:v>
      </x:c>
      <x:c r="C4" s="7" t="str">
        <x:v>No</x:v>
      </x:c>
      <x:c r="D4" s="7" t="str">
        <x:v>No named revenue-sized win found</x:v>
      </x:c>
      <x:c r="E4" s="7" t="str">
        <x:v>Healthcare</x:v>
      </x:c>
      <x:c r="F4" s="7" t="str">
        <x:v>N/A</x:v>
      </x:c>
      <x:c r="G4" s="7" t="str">
        <x:v>N/A</x:v>
      </x:c>
      <x:c r="H4" s="7" t="str">
        <x:v>N/A</x:v>
      </x:c>
      <x:c r="I4" s="7" t="str">
        <x:v>Data gap</x:v>
      </x:c>
      <x:c r="J4" s="7" t="str">
        <x:v>Important FDXF diligence gap.</x:v>
      </x:c>
      <x:c r="K4" s="7" t="str">
        <x:v>PUBLIC_SCAN</x:v>
      </x:c>
      <x:c r="L4" s="7" t="str">
        <x:v>N/A</x:v>
      </x:c>
      <x:c r="M4" s="7" t="str">
        <x:v>Do not interpret absence of public wins as absence of private contracts.</x:v>
      </x:c>
    </x:row>
    <x:row r="5" ht="15" hidden="0" customHeight="1">
      <x:c r="A5" s="7" t="str">
        <x:v>UPS Healthcare</x:v>
      </x:c>
      <x:c r="B5" s="7" t="str">
        <x:v>2025-04-24</x:v>
      </x:c>
      <x:c r="C5" s="7" t="str">
        <x:v>Counterparty disclosed</x:v>
      </x:c>
      <x:c r="D5" s="7" t="str">
        <x:v>Andlauer Healthcare Group</x:v>
      </x:c>
      <x:c r="E5" s="7" t="str">
        <x:v>Healthcare cold chain / 3PL</x:v>
      </x:c>
      <x:c r="F5" s="7" t="str">
        <x:v>Agreement to acquire AHG.</x:v>
      </x:c>
      <x:c r="G5" s="7" t="str">
        <x:v>North America / Canada</x:v>
      </x:c>
      <x:c r="H5" s="7" t="str">
        <x:v>CAD $2.2B / USD $1.6B transaction value.</x:v>
      </x:c>
      <x:c r="I5" s="7" t="str">
        <x:v>Acquisition</x:v>
      </x:c>
      <x:c r="J5" s="7" t="str">
        <x:v>Competitor benchmark.</x:v>
      </x:c>
      <x:c r="K5" s="7" t="str">
        <x:v>UPS_AHG</x:v>
      </x:c>
      <x:c r="L5" s="7" t="str">
        <x:v>https://developer.ups.com/us/en/healthcare/news/press-releases/ups-to-aquire-andlauer-healthcare-group</x:v>
      </x:c>
      <x:c r="M5" s="7" t="str">
        <x:v>Shows competitor investment in specialized healthcare logistics.</x:v>
      </x:c>
    </x:row>
    <x:row r="6" ht="15" hidden="0" customHeight="1">
      <x:c r="A6" s="7" t="str">
        <x:v>DHL Health Logistics</x:v>
      </x:c>
      <x:c r="B6" s="7" t="str">
        <x:v>2025-04-07</x:v>
      </x:c>
      <x:c r="C6" s="7" t="str">
        <x:v>No named customer</x:v>
      </x:c>
      <x:c r="D6" s="7" t="str">
        <x:v>N/A</x:v>
      </x:c>
      <x:c r="E6" s="7" t="str">
        <x:v>Life sciences and healthcare</x:v>
      </x:c>
      <x:c r="F6" s="7" t="str">
        <x:v>EUR2B investment by 2030.</x:v>
      </x:c>
      <x:c r="G6" s="7" t="str">
        <x:v>Global; 50% Americas.</x:v>
      </x:c>
      <x:c r="H6" s="7" t="str">
        <x:v>EUR2B investment; &gt;EUR5B 2024 sector revenue.</x:v>
      </x:c>
      <x:c r="I6" s="7" t="str">
        <x:v>Investment</x:v>
      </x:c>
      <x:c r="J6" s="7" t="str">
        <x:v>Competitor benchmark.</x:v>
      </x:c>
      <x:c r="K6" s="7" t="str">
        <x:v>DHL_INVEST</x:v>
      </x:c>
      <x:c r="L6" s="7" t="str">
        <x:v>https://group.dhl.com/en/media-relations/press-releases/2025/dhl-group-to-invest-2-billion-in-dhl-health-logistics.html</x:v>
      </x:c>
      <x:c r="M6" s="7" t="str">
        <x:v>Shows scale of incumbent healthcare infrastructure.</x:v>
      </x:c>
    </x:row>
    <x:row r="7" ht="15" hidden="0" customHeight="1">
      <x:c r="A7" s="7" t="str">
        <x:v>World Courier / Cencora</x:v>
      </x:c>
      <x:c r="B7" s="7" t="str">
        <x:v>2023-12-19</x:v>
      </x:c>
      <x:c r="C7" s="7" t="str">
        <x:v>No named customer</x:v>
      </x:c>
      <x:c r="D7" s="7" t="str">
        <x:v>N/A</x:v>
      </x:c>
      <x:c r="E7" s="7" t="str">
        <x:v>Specialty pharmaceuticals</x:v>
      </x:c>
      <x:c r="F7" s="7" t="str">
        <x:v>Three new U.S. transport stations.</x:v>
      </x:c>
      <x:c r="G7" s="7" t="str">
        <x:v>Denver, Indianapolis, San Diego</x:v>
      </x:c>
      <x:c r="H7" s="7" t="str">
        <x:v>North America network to 17 sites after expansion.</x:v>
      </x:c>
      <x:c r="I7" s="7" t="str">
        <x:v>Capacity expansion</x:v>
      </x:c>
      <x:c r="J7" s="7" t="str">
        <x:v>Competitor benchmark.</x:v>
      </x:c>
      <x:c r="K7" s="7" t="str">
        <x:v>WORLD_COURIER_US_EXP</x:v>
      </x:c>
      <x:c r="L7" s="7" t="str">
        <x:v>https://www.cencora.com/newsroom/world-courier-to-expand-storage-and-cold-chain-capabilities-with-new-transport-stations-in-us</x:v>
      </x:c>
      <x:c r="M7" s="7" t="str">
        <x:v>Shows high-end specialty cold-chain competition.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" hidden="0" customWidth="1"/>
    <x:col min="2" max="2" width="59.630001068115234" hidden="0" customWidth="1"/>
    <x:col min="3" max="3" width="26.1299991607666" hidden="0" customWidth="1"/>
    <x:col min="4" max="4" width="16.3799991607666" hidden="0" customWidth="1"/>
    <x:col min="5" max="5" width="126.5" hidden="0" customWidth="1"/>
    <x:col min="6" max="6" width="17.5" hidden="0" customWidth="1"/>
    <x:col min="7" max="7" width="87.5" hidden="0" customWidth="1"/>
    <x:col min="8" max="8" width="71.37999725341797" hidden="0" customWidth="1"/>
  </x:cols>
  <x:sheetData>
    <x:row r="1" ht="15" hidden="0" customHeight="1">
      <x:c r="A1" s="5" t="str">
        <x:v>Source_ID</x:v>
      </x:c>
      <x:c r="B1" s="5" t="str">
        <x:v>Title</x:v>
      </x:c>
      <x:c r="C1" s="5" t="str">
        <x:v>Publisher</x:v>
      </x:c>
      <x:c r="D1" s="5" t="str">
        <x:v>Date</x:v>
      </x:c>
      <x:c r="E1" s="5" t="str">
        <x:v>URL</x:v>
      </x:c>
      <x:c r="F1" s="5" t="str">
        <x:v>Type</x:v>
      </x:c>
      <x:c r="G1" s="5" t="str">
        <x:v>Used_for</x:v>
      </x:c>
      <x:c r="H1" s="5" t="str">
        <x:v>Notes</x:v>
      </x:c>
    </x:row>
    <x:row r="2" ht="15" hidden="0" customHeight="1">
      <x:c r="A2" s="7" t="str">
        <x:v>FDX_INV_DAY_P13</x:v>
      </x:c>
      <x:c r="B2" s="7" t="str">
        <x:v>FedEx Freight Investor Day Presentation</x:v>
      </x:c>
      <x:c r="C2" s="7" t="str">
        <x:v>FedEx Freight</x:v>
      </x:c>
      <x:c r="D2" s="7" t="str">
        <x:v>2026-04-08</x:v>
      </x:c>
      <x:c r="E2" s="7" t="str">
        <x:v>https://d1io3yog0oux5.cloudfront.net/_5705b101ff53031529c842d008f96e5d/fedexfreight/db/3570/34491/presentation/FedEx+Freight+Investor+Day+Presentation.pdf</x:v>
      </x:c>
      <x:c r="F2" s="7" t="str">
        <x:v>Investor presentation</x:v>
      </x:c>
      <x:c r="G2" s="7" t="str">
        <x:v>4%-6% medium-term revenue CAGR target.</x:v>
      </x:c>
      <x:c r="H2" s="7" t="str">
        <x:v>Primary source.</x:v>
      </x:c>
    </x:row>
    <x:row r="3" ht="15" hidden="0" customHeight="1">
      <x:c r="A3" s="7" t="str">
        <x:v>FDX_INV_DAY_P35</x:v>
      </x:c>
      <x:c r="B3" s="7" t="str">
        <x:v>FedEx Freight Investor Day Presentation</x:v>
      </x:c>
      <x:c r="C3" s="7" t="str">
        <x:v>FedEx Freight</x:v>
      </x:c>
      <x:c r="D3" s="7" t="str">
        <x:v>2026-04-08</x:v>
      </x:c>
      <x:c r="E3" s="7" t="str">
        <x:v>https://d1io3yog0oux5.cloudfront.net/_5705b101ff53031529c842d008f96e5d/fedexfreight/db/3570/34491/presentation/FedEx+Freight+Investor+Day+Presentation.pdf</x:v>
      </x:c>
      <x:c r="F3" s="7" t="str">
        <x:v>Investor presentation</x:v>
      </x:c>
      <x:c r="G3" s="7" t="str">
        <x:v>FY26E revenue mix; 3% Other includes Custom Critical and specialty services.</x:v>
      </x:c>
      <x:c r="H3" s="7" t="str">
        <x:v>Primary source.</x:v>
      </x:c>
    </x:row>
    <x:row r="4" ht="15" hidden="0" customHeight="1">
      <x:c r="A4" s="7" t="str">
        <x:v>FDX_INV_DAY_P37</x:v>
      </x:c>
      <x:c r="B4" s="7" t="str">
        <x:v>FedEx Freight Investor Day Presentation</x:v>
      </x:c>
      <x:c r="C4" s="7" t="str">
        <x:v>FedEx Freight</x:v>
      </x:c>
      <x:c r="D4" s="7" t="str">
        <x:v>2026-04-08</x:v>
      </x:c>
      <x:c r="E4" s="7" t="str">
        <x:v>https://d1io3yog0oux5.cloudfront.net/_5705b101ff53031529c842d008f96e5d/fedexfreight/db/3570/34491/presentation/FedEx+Freight+Investor+Day+Presentation.pdf</x:v>
      </x:c>
      <x:c r="F4" s="7" t="str">
        <x:v>Investor presentation</x:v>
      </x:c>
      <x:c r="G4" s="7" t="str">
        <x:v>Revenue by industry, customer base and tenure.</x:v>
      </x:c>
      <x:c r="H4" s="7" t="str">
        <x:v>Primary source.</x:v>
      </x:c>
    </x:row>
    <x:row r="5" ht="15" hidden="0" customHeight="1">
      <x:c r="A5" s="7" t="str">
        <x:v>FDX_INV_DAY_P44</x:v>
      </x:c>
      <x:c r="B5" s="7" t="str">
        <x:v>FedEx Freight Investor Day Presentation</x:v>
      </x:c>
      <x:c r="C5" s="7" t="str">
        <x:v>FedEx Freight</x:v>
      </x:c>
      <x:c r="D5" s="7" t="str">
        <x:v>2026-04-08</x:v>
      </x:c>
      <x:c r="E5" s="7" t="str">
        <x:v>https://d1io3yog0oux5.cloudfront.net/_5705b101ff53031529c842d008f96e5d/fedexfreight/db/3570/34491/presentation/FedEx+Freight+Investor+Day+Presentation.pdf</x:v>
      </x:c>
      <x:c r="F5" s="7" t="str">
        <x:v>Investor presentation</x:v>
      </x:c>
      <x:c r="G5" s="7" t="str">
        <x:v>Healthcare/pharma/life sciences opportunity and $6B headline TAM footnote.</x:v>
      </x:c>
      <x:c r="H5" s="7" t="str">
        <x:v>Primary source; footnote says third-party estimates incorporating census commodity-flow data.</x:v>
      </x:c>
    </x:row>
    <x:row r="6" ht="15" hidden="0" customHeight="1">
      <x:c r="A6" s="7" t="str">
        <x:v>FDX_INV_DAY_P63</x:v>
      </x:c>
      <x:c r="B6" s="7" t="str">
        <x:v>FedEx Freight Investor Day Presentation</x:v>
      </x:c>
      <x:c r="C6" s="7" t="str">
        <x:v>FedEx Freight</x:v>
      </x:c>
      <x:c r="D6" s="7" t="str">
        <x:v>2026-04-08</x:v>
      </x:c>
      <x:c r="E6" s="7" t="str">
        <x:v>https://d1io3yog0oux5.cloudfront.net/_5705b101ff53031529c842d008f96e5d/fedexfreight/db/3570/34491/presentation/FedEx+Freight+Investor+Day+Presentation.pdf</x:v>
      </x:c>
      <x:c r="F6" s="7" t="str">
        <x:v>Investor presentation</x:v>
      </x:c>
      <x:c r="G6" s="7" t="str">
        <x:v>Medium-term revenue and adjusted operating income framework.</x:v>
      </x:c>
      <x:c r="H6" s="7" t="str">
        <x:v>Primary source.</x:v>
      </x:c>
    </x:row>
    <x:row r="7" ht="15" hidden="0" customHeight="1">
      <x:c r="A7" s="7" t="str">
        <x:v>FDX_EVENT</x:v>
      </x:c>
      <x:c r="B7" s="7" t="str">
        <x:v>FedEx Freight Investor Day event page</x:v>
      </x:c>
      <x:c r="C7" s="7" t="str">
        <x:v>FedEx Freight IR</x:v>
      </x:c>
      <x:c r="D7" s="7" t="str">
        <x:v>2026-04-08</x:v>
      </x:c>
      <x:c r="E7" s="7" t="str">
        <x:v>https://ir.fedexfreight.com/news-events/events-presentation/20260408-investor-day-2026</x:v>
      </x:c>
      <x:c r="F7" s="7" t="str">
        <x:v>Investor relations page</x:v>
      </x:c>
      <x:c r="G7" s="7" t="str">
        <x:v>Company description; FedEx Custom Critical under FedEx Freight; network scope.</x:v>
      </x:c>
      <x:c r="H7" s="7" t="str">
        <x:v>Primary source.</x:v>
      </x:c>
    </x:row>
    <x:row r="8" ht="15" hidden="0" customHeight="1">
      <x:c r="A8" s="7" t="str">
        <x:v>FDX_Q4_FY26</x:v>
      </x:c>
      <x:c r="B8" s="7" t="str">
        <x:v>FedEx Freight Reports Fourth Quarter and Full Fiscal Year 2026 Financial Results</x:v>
      </x:c>
      <x:c r="C8" s="7" t="str">
        <x:v>FedEx Freight IR</x:v>
      </x:c>
      <x:c r="D8" s="7" t="str">
        <x:v>2026-07-xx</x:v>
      </x:c>
      <x:c r="E8" s="7" t="str">
        <x:v>https://ir.fedexfreight.com/news-events/press-releases/detail/185/fedex-freight-reports-fourth-quarter-and-full-fiscal-year-2026-financial-results</x:v>
      </x:c>
      <x:c r="F8" s="7" t="str">
        <x:v>Earnings release</x:v>
      </x:c>
      <x:c r="G8" s="7" t="str">
        <x:v>FY2026 revenue of $8.8B; Q4 volume and yield metrics.</x:v>
      </x:c>
      <x:c r="H8" s="7" t="str">
        <x:v>Primary source.</x:v>
      </x:c>
    </x:row>
    <x:row r="9" ht="15" hidden="0" customHeight="1">
      <x:c r="A9" s="7" t="str">
        <x:v>FDX_CUSTOM_CRITICAL</x:v>
      </x:c>
      <x:c r="B9" s="7" t="str">
        <x:v>FedEx Custom Critical owner-operator overview</x:v>
      </x:c>
      <x:c r="C9" s="7" t="str">
        <x:v>FedEx Custom Critical</x:v>
      </x:c>
      <x:c r="D9" s="7" t="str">
        <x:v>Accessed 2026-08-11</x:v>
      </x:c>
      <x:c r="E9" s="7" t="str">
        <x:v>https://customcritical.fedex.com/us/owneroperator/overview/default.shtml</x:v>
      </x:c>
      <x:c r="F9" s="7" t="str">
        <x:v>Service page</x:v>
      </x:c>
      <x:c r="G9" s="7" t="str">
        <x:v>24/7/365 time-specific critical-shipment carrier; Surface Expedite; White Glove; temperature control.</x:v>
      </x:c>
      <x:c r="H9" s="7" t="str">
        <x:v>Primary source.</x:v>
      </x:c>
    </x:row>
    <x:row r="10" ht="15" hidden="0" customHeight="1">
      <x:c r="A10" s="7" t="str">
        <x:v>FDX_HEALTHCARE</x:v>
      </x:c>
      <x:c r="B10" s="7" t="str">
        <x:v>Healthcare Shipping Solutions</x:v>
      </x:c>
      <x:c r="C10" s="7" t="str">
        <x:v>FedEx</x:v>
      </x:c>
      <x:c r="D10" s="7" t="str">
        <x:v>Accessed 2026-08-11</x:v>
      </x:c>
      <x:c r="E10" s="7" t="str">
        <x:v>https://images.fedex.com/en-us/healthcare.html</x:v>
      </x:c>
      <x:c r="F10" s="7" t="str">
        <x:v>Service page</x:v>
      </x:c>
      <x:c r="G10" s="7" t="str">
        <x:v>FedEx Surround, SenseAware, Priority Alert, healthcare temperature-controlled options.</x:v>
      </x:c>
      <x:c r="H10" s="7" t="str">
        <x:v>Primary source; mostly FedEx Corp not FDXF-specific.</x:v>
      </x:c>
    </x:row>
    <x:row r="11" ht="15" hidden="0" customHeight="1">
      <x:c r="A11" s="7" t="str">
        <x:v>CFS_2022</x:v>
      </x:c>
      <x:c r="B11" s="7" t="str">
        <x:v>2022 Commodity Flow Survey Final Tables</x:v>
      </x:c>
      <x:c r="C11" s="7" t="str">
        <x:v>U.S. Census Bureau / BTS</x:v>
      </x:c>
      <x:c r="D11" s="7" t="str">
        <x:v>2025-06</x:v>
      </x:c>
      <x:c r="E11" s="7" t="str">
        <x:v>https://www.census.gov/data/tables/2022/econ/cfs/aff-2022.html</x:v>
      </x:c>
      <x:c r="F11" s="7" t="str">
        <x:v>Government dataset</x:v>
      </x:c>
      <x:c r="G11" s="7" t="str">
        <x:v>Commodity-flow data basis cited by management footnote.</x:v>
      </x:c>
      <x:c r="H11" s="7" t="str">
        <x:v>Primary government source.</x:v>
      </x:c>
    </x:row>
    <x:row r="12" ht="15" hidden="0" customHeight="1">
      <x:c r="A12" s="7" t="str">
        <x:v>BTS_CFS</x:v>
      </x:c>
      <x:c r="B12" s="7" t="str">
        <x:v>Commodity Flow Survey 2022 Data Released</x:v>
      </x:c>
      <x:c r="C12" s="7" t="str">
        <x:v>Bureau of Transportation Statistics</x:v>
      </x:c>
      <x:c r="D12" s="7" t="str">
        <x:v>2025-06-26</x:v>
      </x:c>
      <x:c r="E12" s="7" t="str">
        <x:v>https://www.bts.gov/newsroom/commodity-flow-survey-2022-data-released</x:v>
      </x:c>
      <x:c r="F12" s="7" t="str">
        <x:v>Government release</x:v>
      </x:c>
      <x:c r="G12" s="7" t="str">
        <x:v>CFS scope and national freight-flow context.</x:v>
      </x:c>
      <x:c r="H12" s="7" t="str">
        <x:v>Primary government source.</x:v>
      </x:c>
    </x:row>
    <x:row r="13" ht="15" hidden="0" customHeight="1">
      <x:c r="A13" s="7" t="str">
        <x:v>UPS_AHG</x:v>
      </x:c>
      <x:c r="B13" s="7" t="str">
        <x:v>UPS to Acquire Andlauer Healthcare Group</x:v>
      </x:c>
      <x:c r="C13" s="7" t="str">
        <x:v>UPS Healthcare</x:v>
      </x:c>
      <x:c r="D13" s="7" t="str">
        <x:v>2025-04-24</x:v>
      </x:c>
      <x:c r="E13" s="7" t="str">
        <x:v>https://developer.ups.com/us/en/healthcare/news/press-releases/ups-to-aquire-andlauer-healthcare-group</x:v>
      </x:c>
      <x:c r="F13" s="7" t="str">
        <x:v>Press release</x:v>
      </x:c>
      <x:c r="G13" s="7" t="str">
        <x:v>CAD $2.2B / USD $1.6B acquisition; UPS Healthcare 19.2M+ sq ft cGMP/GDP distribution space.</x:v>
      </x:c>
      <x:c r="H13" s="7" t="str">
        <x:v>Competitor primary source.</x:v>
      </x:c>
    </x:row>
    <x:row r="14" ht="15" hidden="0" customHeight="1">
      <x:c r="A14" s="7" t="str">
        <x:v>DHL_INVEST</x:v>
      </x:c>
      <x:c r="B14" s="7" t="str">
        <x:v>DHL Group to Invest EUR 2 Billion by 2030 in DHL Health Logistics</x:v>
      </x:c>
      <x:c r="C14" s="7" t="str">
        <x:v>DHL Group</x:v>
      </x:c>
      <x:c r="D14" s="7" t="str">
        <x:v>2025-04-07</x:v>
      </x:c>
      <x:c r="E14" s="7" t="str">
        <x:v>https://group.dhl.com/en/media-relations/press-releases/2025/dhl-group-to-invest-2-billion-in-dhl-health-logistics.html</x:v>
      </x:c>
      <x:c r="F14" s="7" t="str">
        <x:v>Press release</x:v>
      </x:c>
      <x:c r="G14" s="7" t="str">
        <x:v>EUR2B investment; 2024 LSH revenue &gt;EUR5B; nearly 600 sites; 2.5M sqm temperature-controlled warehouse space.</x:v>
      </x:c>
      <x:c r="H14" s="7" t="str">
        <x:v>Competitor primary source.</x:v>
      </x:c>
    </x:row>
    <x:row r="15" ht="15" hidden="0" customHeight="1">
      <x:c r="A15" s="7" t="str">
        <x:v>DHL_AIR_COLD</x:v>
      </x:c>
      <x:c r="B15" s="7" t="str">
        <x:v>DHL Group expands Airfreight Cold Chain Network</x:v>
      </x:c>
      <x:c r="C15" s="7" t="str">
        <x:v>DHL Group</x:v>
      </x:c>
      <x:c r="D15" s="7" t="str">
        <x:v>2026-02-19</x:v>
      </x:c>
      <x:c r="E15" s="7" t="str">
        <x:v>https://group.dhl.com/en/media-relations/press-releases/2026/dhl-group-expands-airfreight-cold-chain-network-to-advance-global-health-logistics.html</x:v>
      </x:c>
      <x:c r="F15" s="7" t="str">
        <x:v>Press release</x:v>
      </x:c>
      <x:c r="G15" s="7" t="str">
        <x:v>Dedicated pharma airfreight cold-chain network and visibility.</x:v>
      </x:c>
      <x:c r="H15" s="7" t="str">
        <x:v>Competitor primary source.</x:v>
      </x:c>
    </x:row>
    <x:row r="16" ht="15" hidden="0" customHeight="1">
      <x:c r="A16" s="7" t="str">
        <x:v>WORLD_COURIER</x:v>
      </x:c>
      <x:c r="B16" s="7" t="str">
        <x:v>Patient journeys / specialty pharma logistics</x:v>
      </x:c>
      <x:c r="C16" s="7" t="str">
        <x:v>World Courier</x:v>
      </x:c>
      <x:c r="D16" s="7" t="str">
        <x:v>Accessed 2026-08-11</x:v>
      </x:c>
      <x:c r="E16" s="7" t="str">
        <x:v>https://www.worldcourier.com/case-studies/patient-journeys</x:v>
      </x:c>
      <x:c r="F16" s="7" t="str">
        <x:v>Service page</x:v>
      </x:c>
      <x:c r="G16" s="7" t="str">
        <x:v>4,000+ team members; 120+ company-owned facilities; 50+ countries; 22 depots.</x:v>
      </x:c>
      <x:c r="H16" s="7" t="str">
        <x:v>Competitor primary source.</x:v>
      </x:c>
    </x:row>
    <x:row r="17" ht="15" hidden="0" customHeight="1">
      <x:c r="A17" s="7" t="str">
        <x:v>CENCORA_CLINICAL</x:v>
      </x:c>
      <x:c r="B17" s="7" t="str">
        <x:v>Clinical Trial Logistics Solutions</x:v>
      </x:c>
      <x:c r="C17" s="7" t="str">
        <x:v>Cencora</x:v>
      </x:c>
      <x:c r="D17" s="7" t="str">
        <x:v>Accessed 2026-08-11</x:v>
      </x:c>
      <x:c r="E17" s="7" t="str">
        <x:v>https://www.cencora.com/solutions/clinical-trial-logistics</x:v>
      </x:c>
      <x:c r="F17" s="7" t="str">
        <x:v>Service page</x:v>
      </x:c>
      <x:c r="G17" s="7" t="str">
        <x:v>Clinical-trial logistics, cold chain, real-time visibility, depot network.</x:v>
      </x:c>
      <x:c r="H17" s="7" t="str">
        <x:v>Competitor primary source.</x:v>
      </x:c>
    </x:row>
    <x:row r="18" ht="15" hidden="0" customHeight="1">
      <x:c r="A18" s="7" t="str">
        <x:v>WORLD_COURIER_US_EXP</x:v>
      </x:c>
      <x:c r="B18" s="7" t="str">
        <x:v>World Courier to Expand Storage Capacity and Cold Chain Capabilities</x:v>
      </x:c>
      <x:c r="C18" s="7" t="str">
        <x:v>Cencora</x:v>
      </x:c>
      <x:c r="D18" s="7" t="str">
        <x:v>2023-12-19</x:v>
      </x:c>
      <x:c r="E18" s="7" t="str">
        <x:v>https://www.cencora.com/newsroom/world-courier-to-expand-storage-and-cold-chain-capabilities-with-new-transport-stations-in-us</x:v>
      </x:c>
      <x:c r="F18" s="7" t="str">
        <x:v>Press release</x:v>
      </x:c>
      <x:c r="G18" s="7" t="str">
        <x:v>Three U.S. transport stations; North America network to 17 sites.</x:v>
      </x:c>
      <x:c r="H18" s="7" t="str">
        <x:v>Competitor primary source.</x:v>
      </x:c>
    </x:row>
    <x:row r="19" ht="15" hidden="0" customHeight="1">
      <x:c r="A19" s="7" t="str">
        <x:v>PUBLIC_SCAN</x:v>
      </x:c>
      <x:c r="B19" s="7" t="str">
        <x:v>Public source scan for named FDXF healthcare wins</x:v>
      </x:c>
      <x:c r="C19" s="7" t="str">
        <x:v>Analyst workbook note</x:v>
      </x:c>
      <x:c r="D19" s="7" t="str">
        <x:v>2026-08-11</x:v>
      </x:c>
      <x:c r="E19" s="7" t="str">
        <x:v>N/A</x:v>
      </x:c>
      <x:c r="F19" s="7" t="str">
        <x:v>Research note</x:v>
      </x:c>
      <x:c r="G19" s="7" t="str">
        <x:v>No named, revenue-sized FedEx Freight healthcare customer win found in public search for 2021-2026.</x:v>
      </x:c>
      <x:c r="H19" s="7" t="str">
        <x:v>Gap flag, not a primary source.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26.6299991607666" hidden="0" customWidth="1"/>
    <x:col min="3" max="3" width="90.37999725341797" hidden="0" customWidth="1"/>
    <x:col min="4" max="4" width="42.130001068115234" hidden="0" customWidth="1"/>
    <x:col min="5" max="5" width="54.630001068115234" hidden="0" customWidth="1"/>
    <x:col min="6" max="6" width="38.25" hidden="0" customWidth="1"/>
    <x:col min="7" max="7" width="52.380001068115234" hidden="0" customWidth="1"/>
  </x:cols>
  <x:sheetData>
    <x:row r="1" ht="15" hidden="0" customHeight="1">
      <x:c r="A1" s="5" t="str">
        <x:v>Sheet</x:v>
      </x:c>
      <x:c r="B1" s="5" t="str">
        <x:v>Field</x:v>
      </x:c>
      <x:c r="C1" s="5" t="str">
        <x:v>Definition</x:v>
      </x:c>
      <x:c r="D1" s="5" t="str">
        <x:v>Units / format</x:v>
      </x:c>
      <x:c r="E1" s="5" t="str">
        <x:v>Formula / derivation</x:v>
      </x:c>
      <x:c r="F1" s="5" t="str">
        <x:v>Source / assumption</x:v>
      </x:c>
      <x:c r="G1" s="5" t="str">
        <x:v>Notes</x:v>
      </x:c>
    </x:row>
    <x:row r="2" ht="15" hidden="0" customHeight="1">
      <x:c r="A2" s="7" t="str">
        <x:v>Mgmt_TAM</x:v>
      </x:c>
      <x:c r="B2" s="7" t="str">
        <x:v>TAM_or_revenue_$B</x:v>
      </x:c>
      <x:c r="C2" s="7" t="str">
        <x:v>Management-cited market size or FedEx Freight revenue base.</x:v>
      </x:c>
      <x:c r="D2" s="7" t="str">
        <x:v>$B</x:v>
      </x:c>
      <x:c r="E2" s="7" t="str">
        <x:v>Entered from cited source.</x:v>
      </x:c>
      <x:c r="F2" s="7" t="str">
        <x:v>Source-backed</x:v>
      </x:c>
      <x:c r="G2" s="7" t="str">
        <x:v>Blank when no number is disclosed.</x:v>
      </x:c>
    </x:row>
    <x:row r="3" ht="15" hidden="0" customHeight="1">
      <x:c r="A3" s="7" t="str">
        <x:v>TAM_to_SAM</x:v>
      </x:c>
      <x:c r="B3" s="7" t="str">
        <x:v>Headline_TAM_$B</x:v>
      </x:c>
      <x:c r="C3" s="7" t="str">
        <x:v>Allocated portion of the $6B management headline TAM.</x:v>
      </x:c>
      <x:c r="D3" s="7" t="str">
        <x:v>$B</x:v>
      </x:c>
      <x:c r="E3" s="7" t="str">
        <x:v>Analyst allocation; total equals $6B.</x:v>
      </x:c>
      <x:c r="F3" s="7" t="str">
        <x:v>Assumption constrained to management headline</x:v>
      </x:c>
      <x:c r="G3" s="7" t="str">
        <x:v>Categories are modeling buckets, not management-disclosed buckets.</x:v>
      </x:c>
    </x:row>
    <x:row r="4" ht="15" hidden="0" customHeight="1">
      <x:c r="A4" s="7" t="str">
        <x:v>TAM_to_SAM</x:v>
      </x:c>
      <x:c r="B4" s="7" t="str">
        <x:v>LTL_low/base/high</x:v>
      </x:c>
      <x:c r="C4" s="7" t="str">
        <x:v>Share of category plausibly serviceable by LTL or LTL-adjacent freight rather than parcel, dedicated TL or specialty courier.</x:v>
      </x:c>
      <x:c r="D4" s="7" t="str">
        <x:v>%</x:v>
      </x:c>
      <x:c r="E4" s="7" t="str">
        <x:v>Scenario assumption.</x:v>
      </x:c>
      <x:c r="F4" s="7" t="str">
        <x:v>Analyst assumption</x:v>
      </x:c>
      <x:c r="G4" s="7" t="str">
        <x:v>Lower for biologics/diagnostics; higher for devices and supplies.</x:v>
      </x:c>
    </x:row>
    <x:row r="5" ht="15" hidden="0" customHeight="1">
      <x:c r="A5" s="7" t="str">
        <x:v>TAM_to_SAM</x:v>
      </x:c>
      <x:c r="B5" s="7" t="str">
        <x:v>FDXF_compat_low/base/high</x:v>
      </x:c>
      <x:c r="C5" s="7" t="str">
        <x:v>Share of LTL-compatible freight plausibly compatible with FedEx Freight / Custom Critical capabilities.</x:v>
      </x:c>
      <x:c r="D5" s="7" t="str">
        <x:v>%</x:v>
      </x:c>
      <x:c r="E5" s="7" t="str">
        <x:v>Scenario assumption.</x:v>
      </x:c>
      <x:c r="F5" s="7" t="str">
        <x:v>Analyst assumption informed by public capabilities</x:v>
      </x:c>
      <x:c r="G5" s="7" t="str">
        <x:v>Does not equal expected market share.</x:v>
      </x:c>
    </x:row>
    <x:row r="6" ht="15" hidden="0" customHeight="1">
      <x:c r="A6" s="7" t="str">
        <x:v>TAM_to_SAM</x:v>
      </x:c>
      <x:c r="B6" s="7" t="str">
        <x:v>SAM_low/base/high_$B</x:v>
      </x:c>
      <x:c r="C6" s="7" t="str">
        <x:v>Estimated serviceable available market for FDXF capabilities.</x:v>
      </x:c>
      <x:c r="D6" s="7" t="str">
        <x:v>$B</x:v>
      </x:c>
      <x:c r="E6" s="7" t="str">
        <x:v>Headline_TAM_$B * LTL_% * FDXF_compat_%</x:v>
      </x:c>
      <x:c r="F6" s="7" t="str">
        <x:v>Formula</x:v>
      </x:c>
      <x:c r="G6" s="7" t="str">
        <x:v>Low/base/high sensitivity.</x:v>
      </x:c>
    </x:row>
    <x:row r="7" ht="15" hidden="0" customHeight="1">
      <x:c r="A7" s="7" t="str">
        <x:v>Required_Share</x:v>
      </x:c>
      <x:c r="B7" s="7" t="str">
        <x:v>Revenue_CAGR</x:v>
      </x:c>
      <x:c r="C7" s="7" t="str">
        <x:v>FedEx Freight medium-term revenue growth target scenario.</x:v>
      </x:c>
      <x:c r="D7" s="7" t="str">
        <x:v>%</x:v>
      </x:c>
      <x:c r="E7" s="7" t="str">
        <x:v>Bear 4%, Base 5%, Bull 6%.</x:v>
      </x:c>
      <x:c r="F7" s="7" t="str">
        <x:v>Source-backed range; midpoint assumption</x:v>
      </x:c>
      <x:c r="G7" s="7" t="str">
        <x:v>Management discloses 4%-6%, not the midpoint.</x:v>
      </x:c>
    </x:row>
    <x:row r="8" ht="15" hidden="0" customHeight="1">
      <x:c r="A8" s="7" t="str">
        <x:v>Required_Share</x:v>
      </x:c>
      <x:c r="B8" s="7" t="str">
        <x:v>Healthcare_contribution_pct</x:v>
      </x:c>
      <x:c r="C8" s="7" t="str">
        <x:v>Assumed share of total incremental FedEx Freight revenue growth that must come from healthcare.</x:v>
      </x:c>
      <x:c r="D8" s="7" t="str">
        <x:v>%</x:v>
      </x:c>
      <x:c r="E8" s="7" t="str">
        <x:v>Bear 15%, Base 25%, Bull 40%.</x:v>
      </x:c>
      <x:c r="F8" s="7" t="str">
        <x:v>Analyst assumption</x:v>
      </x:c>
      <x:c r="G8" s="7" t="str">
        <x:v>No public vertical-specific sell-side estimate found.</x:v>
      </x:c>
    </x:row>
    <x:row r="9" ht="15" hidden="0" customHeight="1">
      <x:c r="A9" s="7" t="str">
        <x:v>Required_Share</x:v>
      </x:c>
      <x:c r="B9" s="7" t="str">
        <x:v>Required_healthcare_revenue_$B</x:v>
      </x:c>
      <x:c r="C9" s="7" t="str">
        <x:v>Healthcare revenue needed in that year under the scenario.</x:v>
      </x:c>
      <x:c r="D9" s="7" t="str">
        <x:v>$B</x:v>
      </x:c>
      <x:c r="E9" s="7" t="str">
        <x:v>(Projected revenue - FY2026 revenue base) * healthcare contribution pct</x:v>
      </x:c>
      <x:c r="F9" s="7" t="str">
        <x:v>Formula</x:v>
      </x:c>
      <x:c r="G9" s="7" t="str">
        <x:v>Incremental revenue contribution, not total healthcare revenue.</x:v>
      </x:c>
    </x:row>
    <x:row r="10" ht="15" hidden="0" customHeight="1">
      <x:c r="A10" s="7" t="str">
        <x:v>Required_Share</x:v>
      </x:c>
      <x:c r="B10" s="7" t="str">
        <x:v>Share_of_base_SAM</x:v>
      </x:c>
      <x:c r="C10" s="7" t="str">
        <x:v>Required healthcare revenue divided by base serviceable SAM.</x:v>
      </x:c>
      <x:c r="D10" s="7" t="str">
        <x:v>%</x:v>
      </x:c>
      <x:c r="E10" s="7" t="str">
        <x:v>Required_healthcare_revenue_$B / SAM_base_$B</x:v>
      </x:c>
      <x:c r="F10" s="7" t="str">
        <x:v>Formula</x:v>
      </x:c>
      <x:c r="G10" s="7" t="str">
        <x:v>Key right-to-win hurdle.</x:v>
      </x:c>
    </x:row>
    <x:row r="11" ht="15" hidden="0" customHeight="1">
      <x:c r="A11" s="7" t="str">
        <x:v>Competitor_Matrix</x:v>
      </x:c>
      <x:c r="B11" s="7" t="str">
        <x:v>Healthcare logistics revenue / scale</x:v>
      </x:c>
      <x:c r="C11" s="7" t="str">
        <x:v>Publicly disclosed competitor scale indicator.</x:v>
      </x:c>
      <x:c r="D11" s="7" t="str">
        <x:v>Text / $ / sq ft</x:v>
      </x:c>
      <x:c r="E11" s="7" t="str">
        <x:v>Entered from sources.</x:v>
      </x:c>
      <x:c r="F11" s="7" t="str">
        <x:v>Source-backed where available</x:v>
      </x:c>
      <x:c r="G11" s="7" t="str">
        <x:v>UNKNOWN if not disclosed.</x:v>
      </x:c>
    </x:row>
    <x:row r="12" ht="15" hidden="0" customHeight="1">
      <x:c r="A12" s="7" t="str">
        <x:v>FedEx_Capabilities</x:v>
      </x:c>
      <x:c r="B12" s="7" t="str">
        <x:v>Designation</x:v>
      </x:c>
      <x:c r="C12" s="7" t="str">
        <x:v>Analyst classification of FedEx relative strength.</x:v>
      </x:c>
      <x:c r="D12" s="7" t="str">
        <x:v>Advantage / partial advantage / disadvantage / data gap</x:v>
      </x:c>
      <x:c r="E12" s="7" t="str">
        <x:v>Qualitative synthesis of sources.</x:v>
      </x:c>
      <x:c r="F12" s="7" t="str">
        <x:v>Analyst judgment</x:v>
      </x:c>
      <x:c r="G12" s="7" t="str">
        <x:v>Designed to avoid overstating precision.</x:v>
      </x:c>
    </x:row>
    <x:row r="13" ht="15" hidden="0" customHeight="1">
      <x:c r="A13" s="7" t="str">
        <x:v>Customer_Wins</x:v>
      </x:c>
      <x:c r="B13" s="7" t="str">
        <x:v>FDXF relevance</x:v>
      </x:c>
      <x:c r="C13" s="7" t="str">
        <x:v>How directly the evidence supports FedEx Freight healthcare revenue capture.</x:v>
      </x:c>
      <x:c r="D13" s="7" t="str">
        <x:v>Text</x:v>
      </x:c>
      <x:c r="E13" s="7" t="str">
        <x:v>Analyst classification.</x:v>
      </x:c>
      <x:c r="F13" s="7" t="str">
        <x:v>Analyst judgment</x:v>
      </x:c>
      <x:c r="G13" s="7" t="str">
        <x:v>Capability evidence is separated from named customer wins.</x:v>
      </x:c>
    </x:row>
  </x:sheetData>
  <x:pageMargins left="0.7" right="0.7" top="0.75" bottom="0.75" header="0.3" footer="0.3"/>
</x:worksheet>
</file>