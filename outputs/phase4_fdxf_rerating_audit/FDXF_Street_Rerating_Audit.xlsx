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2e86ed05b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4d6571b1dba94dae"/>
    <x:sheet xmlns:r="http://schemas.openxmlformats.org/officeDocument/2006/relationships" name="Street_Targets" sheetId="2" r:id="R435f77ff4c644d04"/>
    <x:sheet xmlns:r="http://schemas.openxmlformats.org/officeDocument/2006/relationships" name="Target_Decomposition" sheetId="3" r:id="R4f3c7fa4123242ce"/>
    <x:sheet xmlns:r="http://schemas.openxmlformats.org/officeDocument/2006/relationships" name="Peer_Valuation" sheetId="4" r:id="Rc2bf98b782fd49ff"/>
    <x:sheet xmlns:r="http://schemas.openxmlformats.org/officeDocument/2006/relationships" name="Peer_Operating_Metrics" sheetId="5" r:id="R3958a23b23d74431"/>
    <x:sheet xmlns:r="http://schemas.openxmlformats.org/officeDocument/2006/relationships" name="Historical_Multiples" sheetId="6" r:id="R2104ff5a17ee4a8e"/>
    <x:sheet xmlns:r="http://schemas.openxmlformats.org/officeDocument/2006/relationships" name="Multiple_Ladder" sheetId="7" r:id="R3a2643cf1e4f4a30"/>
    <x:sheet xmlns:r="http://schemas.openxmlformats.org/officeDocument/2006/relationships" name="Valuation_Sensitivity" sheetId="8" r:id="R10e264ee92e14907"/>
    <x:sheet xmlns:r="http://schemas.openxmlformats.org/officeDocument/2006/relationships" name="Sources" sheetId="9" r:id="Rff0c61ebb6df4333"/>
    <x:sheet xmlns:r="http://schemas.openxmlformats.org/officeDocument/2006/relationships" name="Limitations" sheetId="10" r:id="R8c93e597405f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;[Red]($0.00);-"/>
    <x:numFmt numFmtId="201" formatCode="$#,##0;[Red]($#,##0);-"/>
    <x:numFmt numFmtId="202" formatCode="0.0x;[Red](0.0x);-"/>
    <x:numFmt numFmtId="203" formatCode="0.0%;[Red](0.0%);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544f3f02d4c6e" /><Relationship Type="http://schemas.openxmlformats.org/officeDocument/2006/relationships/theme" Target="/xl/theme/theme1.xml" Id="R722d6982f65549f1" /><Relationship Type="http://schemas.openxmlformats.org/officeDocument/2006/relationships/sharedStrings" Target="/xl/sharedStrings.xml" Id="R4cd6b1dbf10e442f" /><Relationship Type="http://schemas.openxmlformats.org/officeDocument/2006/relationships/worksheet" Target="/xl/worksheets/sheet1.xml" Id="R4d6571b1dba94dae" /><Relationship Type="http://schemas.openxmlformats.org/officeDocument/2006/relationships/worksheet" Target="/xl/worksheets/sheet2.xml" Id="R435f77ff4c644d04" /><Relationship Type="http://schemas.openxmlformats.org/officeDocument/2006/relationships/worksheet" Target="/xl/worksheets/sheet3.xml" Id="R4f3c7fa4123242ce" /><Relationship Type="http://schemas.openxmlformats.org/officeDocument/2006/relationships/worksheet" Target="/xl/worksheets/sheet4.xml" Id="Rc2bf98b782fd49ff" /><Relationship Type="http://schemas.openxmlformats.org/officeDocument/2006/relationships/worksheet" Target="/xl/worksheets/sheet5.xml" Id="R3958a23b23d74431" /><Relationship Type="http://schemas.openxmlformats.org/officeDocument/2006/relationships/worksheet" Target="/xl/worksheets/sheet6.xml" Id="R2104ff5a17ee4a8e" /><Relationship Type="http://schemas.openxmlformats.org/officeDocument/2006/relationships/worksheet" Target="/xl/worksheets/sheet7.xml" Id="R3a2643cf1e4f4a30" /><Relationship Type="http://schemas.openxmlformats.org/officeDocument/2006/relationships/worksheet" Target="/xl/worksheets/sheet8.xml" Id="R10e264ee92e14907" /><Relationship Type="http://schemas.openxmlformats.org/officeDocument/2006/relationships/worksheet" Target="/xl/worksheets/sheet9.xml" Id="Rff0c61ebb6df4333" /><Relationship Type="http://schemas.openxmlformats.org/officeDocument/2006/relationships/worksheet" Target="/xl/worksheets/sheet10.xml" Id="R8c93e597405f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76" hidden="0" customWidth="1"/>
    <x:col min="4" max="4" width="28" hidden="0" customWidth="1"/>
  </x:cols>
  <x:sheetData>
    <x:row r="1">
      <x:c r="A1" s="18" t="str">
        <x:v>Question</x:v>
      </x:c>
      <x:c r="B1" s="18" t="str">
        <x:v>Answer / Formula</x:v>
      </x:c>
      <x:c r="C1" s="18" t="str">
        <x:v>Evidence / Interpretation</x:v>
      </x:c>
      <x:c r="D1" s="18" t="str">
        <x:v>Support Sheet</x:v>
      </x:c>
    </x:row>
    <x:row r="2">
      <x:c r="A2" s="5" t="str">
        <x:v>1. Is multiple expansion material?</x:v>
      </x:c>
      <x:c r="B2" s="10" t="n">
        <x:f>AVERAGE('Target_Decomposition'!G2:G4)</x:f>
        <x:v>0.5085414928245738</x:v>
      </x:c>
      <x:c r="C2" s="5" t="str">
        <x:v>For verified bull targets, the EPS bridge suggests rerating is material for higher targets; consensus is less dependent.</x:v>
      </x:c>
      <x:c r="D2" s="5" t="str">
        <x:v>Target_Decomposition</x:v>
      </x:c>
    </x:row>
    <x:row r="3">
      <x:c r="A3" s="5" t="str">
        <x:v>2. What peer does Street implicitly expect?</x:v>
      </x:c>
      <x:c r="B3" s="5" t="str">
        <x:v>Between SAIA-like and XPO/ODFL-like depending target</x:v>
      </x:c>
      <x:c r="C3" s="5" t="str">
        <x:v>Consensus target screens around mid/high-teens terminal EV/EBITDA on this base case; Jefferies/high targets imply a stronger quality rerating.</x:v>
      </x:c>
      <x:c r="D3" s="5" t="str">
        <x:v>Multiple_Ladder</x:v>
      </x:c>
    </x:row>
    <x:row r="4">
      <x:c r="A4" s="5" t="str">
        <x:v>3. Improvements needed</x:v>
      </x:c>
      <x:c r="B4" s="5" t="str">
        <x:v>Sustained adjusted OR improvement, high-quality SMB/vertical growth, ROIC/FCF conversion, and service evidence</x:v>
      </x:c>
      <x:c r="C4" s="5" t="str">
        <x:v>ODFL premium multiples are associated with superior OR/ROIC/service; XPO multiple rewards margin improvement and tech execution.</x:v>
      </x:c>
      <x:c r="D4" s="5" t="str">
        <x:v>Peer_Operating_Metrics</x:v>
      </x:c>
    </x:row>
    <x:row r="5">
      <x:c r="A5" s="5" t="str">
        <x:v>4. Already demonstrated</x:v>
      </x:c>
      <x:c r="B5" s="5" t="str">
        <x:v>Network scale, pricing/yield in Q4, adjusted margin base, standalone guidance, and cash-flow target framework</x:v>
      </x:c>
      <x:c r="C5" s="5" t="str">
        <x:v>FDXF is largest LTL carrier and issued transition guidance and medium-term targets.</x:v>
      </x:c>
      <x:c r="D5" s="5" t="str">
        <x:v>Sources;Peer_Operating_Metrics</x:v>
      </x:c>
    </x:row>
    <x:row r="6">
      <x:c r="A6" s="5" t="str">
        <x:v>5. Still unproven</x:v>
      </x:c>
      <x:c r="B6" s="5" t="str">
        <x:v>Sustained service rank, profitable share capture, healthcare/vertical share conversion, Amazon overlap impact, and post-spin FCF consistency</x:v>
      </x:c>
      <x:c r="C6" s="5" t="str">
        <x:v>Prior phases support TAM/overlap potential but not proven execution.</x:v>
      </x:c>
      <x:c r="D6" s="5" t="str">
        <x:v>Limitations</x:v>
      </x:c>
    </x:row>
    <x:row r="7">
      <x:c r="A7" s="5" t="str">
        <x:v>6. Lower terminal multiple supported?</x:v>
      </x:c>
      <x:c r="B7" s="5" t="str">
        <x:v>Qualified yes vs ODFL premium until execution evidence improves; not necessarily below SAIA/XPO-like cases</x:v>
      </x:c>
      <x:c r="C7" s="5" t="str">
        <x:v>Evidence supports caution, not a forced bearish conclusion.</x:v>
      </x:c>
      <x:c r="D7" s="5" t="str">
        <x:v>Multiple_Ladder;Peer_Operating_Metrics</x:v>
      </x:c>
    </x:row>
    <x:row r="8">
      <x:c r="A8" s="5" t="str">
        <x:v>7. Contradictory evidence</x:v>
      </x:c>
      <x:c r="B8" s="5" t="str">
        <x:v>Jefferies/Goldman/Raymond/BofA cite path to margin expansion, pricing power, largest network, and industry-cycle recovery</x:v>
      </x:c>
      <x:c r="C8" s="5" t="str">
        <x:v>Bull thesis has plausible fundamental drivers; some upside can come from earnings growth, not only multiple expansion.</x:v>
      </x:c>
      <x:c r="D8" s="5" t="str">
        <x:v>Street_Targets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42" hidden="0" customWidth="1"/>
    <x:col min="8" max="8" width="54" hidden="0" customWidth="1"/>
    <x:col min="9" max="9" width="62" hidden="0" customWidth="1"/>
    <x:col min="10" max="10" width="88" hidden="0" customWidth="1"/>
  </x:cols>
  <x:sheetData>
    <x:row r="1">
      <x:c r="A1" s="18" t="str">
        <x:v>Firm / Source</x:v>
      </x:c>
      <x:c r="B1" s="18" t="str">
        <x:v>Analyst</x:v>
      </x:c>
      <x:c r="C1" s="18" t="str">
        <x:v>Valuation Date</x:v>
      </x:c>
      <x:c r="D1" s="18" t="str">
        <x:v>Rating</x:v>
      </x:c>
      <x:c r="E1" s="18" t="str">
        <x:v>Price Target / Fair Value</x:v>
      </x:c>
      <x:c r="F1" s="18" t="str">
        <x:v>Verification Status</x:v>
      </x:c>
      <x:c r="G1" s="18" t="str">
        <x:v>Valuation Methodology</x:v>
      </x:c>
      <x:c r="H1" s="18" t="str">
        <x:v>Observable Multiple / Model Inputs</x:v>
      </x:c>
      <x:c r="I1" s="18" t="str">
        <x:v>Thesis / Evidence</x:v>
      </x:c>
      <x:c r="J1" s="18" t="str">
        <x:v>Source URL</x:v>
      </x:c>
    </x:row>
    <x:row r="2">
      <x:c r="A2" s="5" t="str">
        <x:v>Jefferies</x:v>
      </x:c>
      <x:c r="B2" s="5" t="str">
        <x:v>Stephanie Moore</x:v>
      </x:c>
      <x:c r="C2" s="5" t="str">
        <x:v>2026-06-23</x:v>
      </x:c>
      <x:c r="D2" s="5" t="str">
        <x:v>Buy</x:v>
      </x:c>
      <x:c r="E2" s="7" t="n">
        <x:v>200</x:v>
      </x:c>
      <x:c r="F2" s="5" t="str">
        <x:v>Verified</x:v>
      </x:c>
      <x:c r="G2" s="5" t="str">
        <x:v>Public report article only; full initiation not public</x:v>
      </x:c>
      <x:c r="H2" s="5" t="str">
        <x:v>No target multiple disclosed publicly</x:v>
      </x:c>
      <x:c r="I2" s="5" t="str">
        <x:v>Path to 350+ bps margin expansion; largest network; pure-play at trough margins</x:v>
      </x:c>
      <x:c r="J2" s="5" t="str">
        <x:v>https://www.investing.com/news/analyst-ratings/jefferies-initiates-fedex-freight-stock-with-buy-rating-200-target-93CH-4754826</x:v>
      </x:c>
    </x:row>
    <x:row r="3">
      <x:c r="A3" s="5" t="str">
        <x:v>Bank of America</x:v>
      </x:c>
      <x:c r="B3" s="5" t="str">
        <x:v>Ken Hoexter</x:v>
      </x:c>
      <x:c r="C3" s="5" t="str">
        <x:v>2026-06-26</x:v>
      </x:c>
      <x:c r="D3" s="5" t="str">
        <x:v>Buy</x:v>
      </x:c>
      <x:c r="E3" s="7" t="n">
        <x:v>187</x:v>
      </x:c>
      <x:c r="F3" s="5" t="str">
        <x:v>Verified as target raise from $185</x:v>
      </x:c>
      <x:c r="G3" s="5" t="str">
        <x:v>Full analyst report unavailable publicly</x:v>
      </x:c>
      <x:c r="H3" s="5" t="str">
        <x:v>No target multiple disclosed publicly</x:v>
      </x:c>
      <x:c r="I3" s="5" t="str">
        <x:v>Post-earnings support; pricing and transition-period OI outlook</x:v>
      </x:c>
      <x:c r="J3" s="5" t="str">
        <x:v>https://www.marketscreener.com/news/bofa-securities-adjusts-price-target-on-fedex-freight-to-187-from-185-maintains-buy-rating-ce7f5fd9df89f127
https://www.streetinsider.com/Analyst%2BComments/BofA%2BSecurities%2BStarts%2BFedEx%2BFreight%2BHolding%2BCompany%2B%28FDXF%29%2Bat%2BBuy/26580889.html</x:v>
      </x:c>
    </x:row>
    <x:row r="4">
      <x:c r="A4" s="5" t="str">
        <x:v>Goldman Sachs</x:v>
      </x:c>
      <x:c r="B4" s="5" t="str">
        <x:v>Jordan Alliger</x:v>
      </x:c>
      <x:c r="C4" s="5" t="str">
        <x:v>2026-07-01</x:v>
      </x:c>
      <x:c r="D4" s="5" t="str">
        <x:v>Buy</x:v>
      </x:c>
      <x:c r="E4" s="7" t="n">
        <x:v>186</x:v>
      </x:c>
      <x:c r="F4" s="5" t="str">
        <x:v>Verified</x:v>
      </x:c>
      <x:c r="G4" s="5" t="str">
        <x:v>Public article has useful methodology fragments</x:v>
      </x:c>
      <x:c r="H4" s="5" t="str">
        <x:v>FDXF traded at ~28x CY2027 EPS and ~23.5x CY2028 EPS; peer average ~32x and ~28x</x:v>
      </x:c>
      <x:c r="I4" s="5" t="str">
        <x:v>Base case OR around 86.2%; blue-sky OR 85.4% in quarters 5-8 and below 85% later</x:v>
      </x:c>
      <x:c r="J4" s="5" t="str">
        <x:v>https://www.investing.com/news/analyst-ratings/goldman-sachs-initiates-fedex-freight-stock-with-buy-rating-93CH-4769606</x:v>
      </x:c>
    </x:row>
    <x:row r="5">
      <x:c r="A5" s="5" t="str">
        <x:v>Raymond James</x:v>
      </x:c>
      <x:c r="B5" s="5" t="str">
        <x:v>Patrick Tyler Brown</x:v>
      </x:c>
      <x:c r="C5" s="5" t="str">
        <x:v>2026-06-03</x:v>
      </x:c>
      <x:c r="D5" s="5" t="str">
        <x:v>Outperform</x:v>
      </x:c>
      <x:c r="E5" s="7" t="n">
        <x:v>180</x:v>
      </x:c>
      <x:c r="F5" s="5" t="str">
        <x:v>Verified</x:v>
      </x:c>
      <x:c r="G5" s="5" t="str">
        <x:v>Full analyst report unavailable publicly</x:v>
      </x:c>
      <x:c r="H5" s="5" t="str">
        <x:v>No target multiple disclosed publicly</x:v>
      </x:c>
      <x:c r="I5" s="5" t="str">
        <x:v>Improved trucking cycle, service, pricing/volume opportunity, OR exceeding medium-term goals</x:v>
      </x:c>
      <x:c r="J5" s="5" t="str">
        <x:v>https://www.investing.com/news/analyst-ratings/raymond-james-initiates-fedex-freight-stock-with-outperform-rating-93CH-4723983</x:v>
      </x:c>
    </x:row>
    <x:row r="6">
      <x:c r="A6" s="5" t="str">
        <x:v>CFRA</x:v>
      </x:c>
      <x:c r="B6" s="5" t="str">
        <x:v>Not observable</x:v>
      </x:c>
      <x:c r="C6" s="5" t="str">
        <x:v>Not observable</x:v>
      </x:c>
      <x:c r="D6" s="5" t="str">
        <x:v>Not observable</x:v>
      </x:c>
      <x:c r="E6" s="7"/>
      <x:c r="F6" s="5" t="str">
        <x:v>NOT OBSERVABLE</x:v>
      </x:c>
      <x:c r="G6" s="5" t="str">
        <x:v>Could not verify referenced ~$178 target in public sources reviewed</x:v>
      </x:c>
      <x:c r="H6" s="5" t="str">
        <x:v>NOT OBSERVABLE</x:v>
      </x:c>
      <x:c r="I6" s="5" t="str">
        <x:v>Do not invent methodology</x:v>
      </x:c>
      <x:c r="J6" s="5" t="str">
        <x:v>Public source not found</x:v>
      </x:c>
    </x:row>
    <x:row r="7">
      <x:c r="A7" s="5" t="str">
        <x:v>Morningstar</x:v>
      </x:c>
      <x:c r="B7" s="5" t="str">
        <x:v>Matthew Young</x:v>
      </x:c>
      <x:c r="C7" s="5" t="str">
        <x:v>2026-06-02</x:v>
      </x:c>
      <x:c r="D7" s="5" t="str">
        <x:v>Fair value</x:v>
      </x:c>
      <x:c r="E7" s="7" t="n">
        <x:v>102</x:v>
      </x:c>
      <x:c r="F7" s="5" t="str">
        <x:v>Verified as fair value estimate, not Street PT</x:v>
      </x:c>
      <x:c r="G7" s="5" t="str">
        <x:v>Detailed model partly gated</x:v>
      </x:c>
      <x:c r="H7" s="5" t="str">
        <x:v>No public target multiple disclosed</x:v>
      </x:c>
      <x:c r="I7" s="5" t="str">
        <x:v>Market valuation sets high bar; contradicts bull rerating thesis</x:v>
      </x:c>
      <x:c r="J7" s="5" t="str">
        <x:v>https://www.morningstar.com/company-reports/1484081-following-spinoff-we-are-initiating-coverage-on-fedex-freight-with-102-fair-value-estimate</x:v>
      </x:c>
    </x:row>
    <x:row r="8">
      <x:c r="A8" s="5" t="str">
        <x:v>Consensus / S&amp;P Global via StockAnalysis</x:v>
      </x:c>
      <x:c r="B8" s="5" t="str">
        <x:v>12 analysts</x:v>
      </x:c>
      <x:c r="C8" s="5" t="str">
        <x:v>2026-07-29 check</x:v>
      </x:c>
      <x:c r="D8" s="5" t="str">
        <x:v>Buy</x:v>
      </x:c>
      <x:c r="E8" s="7" t="n">
        <x:v>169.42</x:v>
      </x:c>
      <x:c r="F8" s="5" t="str">
        <x:v>Verified consensus</x:v>
      </x:c>
      <x:c r="G8" s="5" t="str">
        <x:v>Aggregate consensus, not single analyst methodology</x:v>
      </x:c>
      <x:c r="H8" s="5" t="str">
        <x:v>No methodology</x:v>
      </x:c>
      <x:c r="I8" s="5" t="str">
        <x:v>Average target; high $200, median $176, low $108</x:v>
      </x:c>
      <x:c r="J8" s="5" t="str">
        <x:v>https://stockanalysis.com/stocks/fdxf/forecast/</x:v>
      </x:c>
    </x:row>
    <x:row r="9">
      <x:c r="A9" s="5" t="str">
        <x:v>Google Finance listed targets</x:v>
      </x:c>
      <x:c r="B9" s="5" t="str">
        <x:v>Multiple</x:v>
      </x:c>
      <x:c r="C9" s="5" t="str">
        <x:v>2026-06 to 2026-07</x:v>
      </x:c>
      <x:c r="D9" s="5" t="str">
        <x:v>Mixed</x:v>
      </x:c>
      <x:c r="E9" s="7" t="n">
        <x:v>176.38</x:v>
      </x:c>
      <x:c r="F9" s="5" t="str">
        <x:v>Verified aggregate/list</x:v>
      </x:c>
      <x:c r="G9" s="5" t="str">
        <x:v>Useful cross-check; not valuation method</x:v>
      </x:c>
      <x:c r="H9" s="5" t="str">
        <x:v>No methodology</x:v>
      </x:c>
      <x:c r="I9" s="5" t="str">
        <x:v>Lists Jefferies, BofA, Goldman, Raymond James and others</x:v>
      </x:c>
      <x:c r="J9" s="5" t="str">
        <x:v>https://www.google.com/finance/quote/FDXF:NYSE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22" hidden="0" customWidth="1"/>
    <x:col min="5" max="5" width="20" hidden="0" customWidth="1"/>
    <x:col min="6" max="6" width="22" hidden="0" customWidth="1"/>
    <x:col min="7" max="7" width="20" hidden="0" customWidth="1"/>
    <x:col min="8" max="8" width="16" hidden="0" customWidth="1"/>
    <x:col min="9" max="9" width="24" hidden="0" customWidth="1"/>
    <x:col min="10" max="10" width="20" hidden="0" customWidth="1"/>
    <x:col min="11" max="11" width="80" hidden="0" customWidth="1"/>
  </x:cols>
  <x:sheetData>
    <x:row r="1">
      <x:c r="A1" s="18" t="str">
        <x:v>Firm / Source</x:v>
      </x:c>
      <x:c r="B1" s="18" t="str">
        <x:v>Target Price</x:v>
      </x:c>
      <x:c r="C1" s="18" t="str">
        <x:v>Total Upside / (Downside)</x:v>
      </x:c>
      <x:c r="D1" s="18" t="str">
        <x:v>Value from FY27 EPS Growth</x:v>
      </x:c>
      <x:c r="E1" s="18" t="str">
        <x:v>% Upside from EPS Growth</x:v>
      </x:c>
      <x:c r="F1" s="18" t="str">
        <x:v>Value from Multiple Rerating</x:v>
      </x:c>
      <x:c r="G1" s="18" t="str">
        <x:v>% Upside from Rerating</x:v>
      </x:c>
      <x:c r="H1" s="18" t="str">
        <x:v>Implied FY27 P/E</x:v>
      </x:c>
      <x:c r="I1" s="18" t="str">
        <x:v>Implied Target EV / Terminal EBITDA</x:v>
      </x:c>
      <x:c r="J1" s="18" t="str">
        <x:v>Verification Status</x:v>
      </x:c>
      <x:c r="K1" s="18" t="str">
        <x:v>Source URL</x:v>
      </x:c>
    </x:row>
    <x:row r="2">
      <x:c r="A2" s="5" t="str">
        <x:v>Jefferies</x:v>
      </x:c>
      <x:c r="B2" s="7" t="n">
        <x:v>200</x:v>
      </x:c>
      <x:c r="C2" s="10" t="n">
        <x:f>IF(B2="","",B2/'Sources'!$B$3-1)</x:f>
        <x:v>0.4335889900365566</x:v>
      </x:c>
      <x:c r="D2" s="7" t="n">
        <x:f>IF(B2="","",'Sources'!$B$15*'Sources'!$B$16-'Sources'!$B$3)</x:f>
        <x:v>24.94767058823527</x:v>
      </x:c>
      <x:c r="E2" s="10" t="n">
        <x:f>IF(B2="","",D2/(B2-'Sources'!$B$3))</x:f>
        <x:v>0.41242636118755605</x:v>
      </x:c>
      <x:c r="F2" s="7" t="n">
        <x:f>IF(B2="","",B2-('Sources'!$B$15*'Sources'!$B$16))</x:f>
        <x:v>35.54232941176474</x:v>
      </x:c>
      <x:c r="G2" s="10" t="n">
        <x:f>IF(B2="","",F2/(B2-'Sources'!$B$3))</x:f>
        <x:v>0.587573638812444</x:v>
      </x:c>
      <x:c r="H2" s="9" t="n">
        <x:f>IF(B2="","",B2/'Sources'!$B$15)</x:f>
        <x:v>39.920159680638726</x:v>
      </x:c>
      <x:c r="I2" s="9" t="n">
        <x:f>IF(B2="","",(B2*'Sources'!$B$4+'Sources'!$B$25)/'Sources'!$B$23)</x:f>
        <x:v>17.183507371310707</x:v>
      </x:c>
      <x:c r="J2" s="5" t="str">
        <x:v>Verified</x:v>
      </x:c>
      <x:c r="K2" s="5" t="str">
        <x:v>https://www.investing.com/news/analyst-ratings/jefferies-initiates-fedex-freight-stock-with-buy-rating-200-target-93CH-4754826</x:v>
      </x:c>
    </x:row>
    <x:row r="3">
      <x:c r="A3" s="5" t="str">
        <x:v>Bank of America</x:v>
      </x:c>
      <x:c r="B3" s="7" t="n">
        <x:v>187</x:v>
      </x:c>
      <x:c r="C3" s="10" t="n">
        <x:f>IF(B3="","",B3/'Sources'!$B$3-1)</x:f>
        <x:v>0.3404057056841805</x:v>
      </x:c>
      <x:c r="D3" s="7" t="n">
        <x:f>IF(B3="","",'Sources'!$B$15*'Sources'!$B$16-'Sources'!$B$3)</x:f>
        <x:v>24.94767058823527</x:v>
      </x:c>
      <x:c r="E3" s="10" t="n">
        <x:f>IF(B3="","",D3/(B3-'Sources'!$B$3))</x:f>
        <x:v>0.5253247123233368</x:v>
      </x:c>
      <x:c r="F3" s="7" t="n">
        <x:f>IF(B3="","",B3-('Sources'!$B$15*'Sources'!$B$16))</x:f>
        <x:v>22.54232941176474</x:v>
      </x:c>
      <x:c r="G3" s="10" t="n">
        <x:f>IF(B3="","",F3/(B3-'Sources'!$B$3))</x:f>
        <x:v>0.4746752876766632</x:v>
      </x:c>
      <x:c r="H3" s="9" t="n">
        <x:f>IF(B3="","",B3/'Sources'!$B$15)</x:f>
        <x:v>37.32534930139721</x:v>
      </x:c>
      <x:c r="I3" s="9" t="n">
        <x:f>IF(B3="","",(B3*'Sources'!$B$4+'Sources'!$B$25)/'Sources'!$B$23)</x:f>
        <x:v>16.229585674616274</x:v>
      </x:c>
      <x:c r="J3" s="5" t="str">
        <x:v>Verified as target raise from $185</x:v>
      </x:c>
      <x:c r="K3" s="5" t="str">
        <x:v>https://www.marketscreener.com/news/bofa-securities-adjusts-price-target-on-fedex-freight-to-187-from-185-maintains-buy-rating-ce7f5fd9df89f127
https://www.streetinsider.com/Analyst%2BComments/BofA%2BSecurities%2BStarts%2BFedEx%2BFreight%2BHolding%2BCompany%2B%28FDXF%29%2Bat%2BBuy/26580889.html</x:v>
      </x:c>
    </x:row>
    <x:row r="4">
      <x:c r="A4" s="5" t="str">
        <x:v>Goldman Sachs</x:v>
      </x:c>
      <x:c r="B4" s="7" t="n">
        <x:v>186</x:v>
      </x:c>
      <x:c r="C4" s="10" t="n">
        <x:f>IF(B4="","",B4/'Sources'!$B$3-1)</x:f>
        <x:v>0.3332377607339976</x:v>
      </x:c>
      <x:c r="D4" s="7" t="n">
        <x:f>IF(B4="","",'Sources'!$B$15*'Sources'!$B$16-'Sources'!$B$3)</x:f>
        <x:v>24.94767058823527</x:v>
      </x:c>
      <x:c r="E4" s="10" t="n">
        <x:f>IF(B4="","",D4/(B4-'Sources'!$B$3))</x:f>
        <x:v>0.5366244480153853</x:v>
      </x:c>
      <x:c r="F4" s="7" t="n">
        <x:f>IF(B4="","",B4-('Sources'!$B$15*'Sources'!$B$16))</x:f>
        <x:v>21.54232941176474</x:v>
      </x:c>
      <x:c r="G4" s="10" t="n">
        <x:f>IF(B4="","",F4/(B4-'Sources'!$B$3))</x:f>
        <x:v>0.46337555198461466</x:v>
      </x:c>
      <x:c r="H4" s="9" t="n">
        <x:f>IF(B4="","",B4/'Sources'!$B$15)</x:f>
        <x:v>37.125748502994014</x:v>
      </x:c>
      <x:c r="I4" s="9" t="n">
        <x:f>IF(B4="","",(B4*'Sources'!$B$4+'Sources'!$B$25)/'Sources'!$B$23)</x:f>
        <x:v>16.156207082562855</x:v>
      </x:c>
      <x:c r="J4" s="5" t="str">
        <x:v>Verified</x:v>
      </x:c>
      <x:c r="K4" s="5" t="str">
        <x:v>https://www.investing.com/news/analyst-ratings/goldman-sachs-initiates-fedex-freight-stock-with-buy-rating-93CH-4769606</x:v>
      </x:c>
    </x:row>
    <x:row r="5">
      <x:c r="A5" s="5" t="str">
        <x:v>Raymond James</x:v>
      </x:c>
      <x:c r="B5" s="7" t="n">
        <x:v>180</x:v>
      </x:c>
      <x:c r="C5" s="10" t="n">
        <x:f>IF(B5="","",B5/'Sources'!$B$3-1)</x:f>
        <x:v>0.290230091032901</x:v>
      </x:c>
      <x:c r="D5" s="7" t="n">
        <x:f>IF(B5="","",'Sources'!$B$15*'Sources'!$B$16-'Sources'!$B$3)</x:f>
        <x:v>24.94767058823527</x:v>
      </x:c>
      <x:c r="E5" s="10" t="n">
        <x:f>IF(B5="","",D5/(B5-'Sources'!$B$3))</x:f>
        <x:v>0.6161440006973392</x:v>
      </x:c>
      <x:c r="F5" s="7" t="n">
        <x:f>IF(B5="","",B5-('Sources'!$B$15*'Sources'!$B$16))</x:f>
        <x:v>15.54232941176474</x:v>
      </x:c>
      <x:c r="G5" s="10" t="n">
        <x:f>IF(B5="","",F5/(B5-'Sources'!$B$3))</x:f>
        <x:v>0.38385599930266084</x:v>
      </x:c>
      <x:c r="H5" s="9" t="n">
        <x:f>IF(B5="","",B5/'Sources'!$B$15)</x:f>
        <x:v>35.92814371257485</x:v>
      </x:c>
      <x:c r="I5" s="9" t="n">
        <x:f>IF(B5="","",(B5*'Sources'!$B$4+'Sources'!$B$25)/'Sources'!$B$23)</x:f>
        <x:v>15.715935530242348</x:v>
      </x:c>
      <x:c r="J5" s="5" t="str">
        <x:v>Verified</x:v>
      </x:c>
      <x:c r="K5" s="5" t="str">
        <x:v>https://www.investing.com/news/analyst-ratings/raymond-james-initiates-fedex-freight-stock-with-outperform-rating-93CH-4723983</x:v>
      </x:c>
    </x:row>
    <x:row r="6">
      <x:c r="A6" s="5" t="str">
        <x:v>CFRA</x:v>
      </x:c>
      <x:c r="B6" s="7"/>
      <x:c r="C6" s="10" t="str">
        <x:f>IF(B6="","",B6/'Sources'!$B$3-1)</x:f>
      </x:c>
      <x:c r="D6" s="7" t="str">
        <x:f>IF(B6="","",'Sources'!$B$15*'Sources'!$B$16-'Sources'!$B$3)</x:f>
      </x:c>
      <x:c r="E6" s="10" t="str">
        <x:f>IF(B6="","",D6/(B6-'Sources'!$B$3))</x:f>
      </x:c>
      <x:c r="F6" s="7" t="str">
        <x:f>IF(B6="","",B6-('Sources'!$B$15*'Sources'!$B$16))</x:f>
      </x:c>
      <x:c r="G6" s="10" t="str">
        <x:f>IF(B6="","",F6/(B6-'Sources'!$B$3))</x:f>
      </x:c>
      <x:c r="H6" s="9" t="str">
        <x:f>IF(B6="","",B6/'Sources'!$B$15)</x:f>
      </x:c>
      <x:c r="I6" s="9" t="str">
        <x:f>IF(B6="","",(B6*'Sources'!$B$4+'Sources'!$B$25)/'Sources'!$B$23)</x:f>
      </x:c>
      <x:c r="J6" s="5" t="str">
        <x:v>NOT OBSERVABLE</x:v>
      </x:c>
      <x:c r="K6" s="5" t="str">
        <x:v>Public source not found</x:v>
      </x:c>
    </x:row>
    <x:row r="7">
      <x:c r="A7" s="5" t="str">
        <x:v>Morningstar</x:v>
      </x:c>
      <x:c r="B7" s="7" t="n">
        <x:v>102</x:v>
      </x:c>
      <x:c r="C7" s="10" t="n">
        <x:f>IF(B7="","",B7/'Sources'!$B$3-1)</x:f>
        <x:v>-0.2688696150813561</x:v>
      </x:c>
      <x:c r="D7" s="7" t="n">
        <x:f>IF(B7="","",'Sources'!$B$15*'Sources'!$B$16-'Sources'!$B$3)</x:f>
        <x:v>24.94767058823527</x:v>
      </x:c>
      <x:c r="E7" s="10" t="n">
        <x:f>IF(B7="","",D7/(B7-'Sources'!$B$3))</x:f>
        <x:v>-0.6650938573243208</x:v>
      </x:c>
      <x:c r="F7" s="7" t="n">
        <x:f>IF(B7="","",B7-('Sources'!$B$15*'Sources'!$B$16))</x:f>
        <x:v>-62.45767058823526</x:v>
      </x:c>
      <x:c r="G7" s="10" t="n">
        <x:f>IF(B7="","",F7/(B7-'Sources'!$B$3))</x:f>
        <x:v>1.6650938573243208</x:v>
      </x:c>
      <x:c r="H7" s="9" t="n">
        <x:f>IF(B7="","",B7/'Sources'!$B$15)</x:f>
        <x:v>20.35928143712575</x:v>
      </x:c>
      <x:c r="I7" s="9" t="n">
        <x:f>IF(B7="","",(B7*'Sources'!$B$4+'Sources'!$B$25)/'Sources'!$B$23)</x:f>
        <x:v>9.992405350075746</x:v>
      </x:c>
      <x:c r="J7" s="5" t="str">
        <x:v>Verified as fair value estimate, not Street PT</x:v>
      </x:c>
      <x:c r="K7" s="5" t="str">
        <x:v>https://www.morningstar.com/company-reports/1484081-following-spinoff-we-are-initiating-coverage-on-fedex-freight-with-102-fair-value-estimate</x:v>
      </x:c>
    </x:row>
    <x:row r="8">
      <x:c r="A8" s="5" t="str">
        <x:v>Consensus / S&amp;P Global via StockAnalysis</x:v>
      </x:c>
      <x:c r="B8" s="7" t="n">
        <x:v>169.42</x:v>
      </x:c>
      <x:c r="C8" s="10" t="n">
        <x:f>IF(B8="","",B8/'Sources'!$B$3-1)</x:f>
        <x:v>0.21439323345996697</x:v>
      </x:c>
      <x:c r="D8" s="7" t="n">
        <x:f>IF(B8="","",'Sources'!$B$15*'Sources'!$B$16-'Sources'!$B$3)</x:f>
        <x:v>24.94767058823527</x:v>
      </x:c>
      <x:c r="E8" s="10" t="n">
        <x:f>IF(B8="","",D8/(B8-'Sources'!$B$3))</x:f>
        <x:v>0.8340912934883074</x:v>
      </x:c>
      <x:c r="F8" s="7" t="n">
        <x:f>IF(B8="","",B8-('Sources'!$B$15*'Sources'!$B$16))</x:f>
        <x:v>4.962329411764728</x:v>
      </x:c>
      <x:c r="G8" s="10" t="n">
        <x:f>IF(B8="","",F8/(B8-'Sources'!$B$3))</x:f>
        <x:v>0.16590870651169268</x:v>
      </x:c>
      <x:c r="H8" s="9" t="n">
        <x:f>IF(B8="","",B8/'Sources'!$B$15)</x:f>
        <x:v>33.81636726546906</x:v>
      </x:c>
      <x:c r="I8" s="9" t="n">
        <x:f>IF(B8="","",(B8*'Sources'!$B$4+'Sources'!$B$25)/'Sources'!$B$23)</x:f>
        <x:v>14.939590026317184</x:v>
      </x:c>
      <x:c r="J8" s="5" t="str">
        <x:v>Verified consensus</x:v>
      </x:c>
      <x:c r="K8" s="5" t="str">
        <x:v>https://stockanalysis.com/stocks/fdxf/forecast/</x:v>
      </x:c>
    </x:row>
    <x:row r="9">
      <x:c r="A9" s="5" t="str">
        <x:v>Google Finance listed targets</x:v>
      </x:c>
      <x:c r="B9" s="7" t="n">
        <x:v>176.38</x:v>
      </x:c>
      <x:c r="C9" s="10" t="n">
        <x:f>IF(B9="","",B9/'Sources'!$B$3-1)</x:f>
        <x:v>0.2642821303132392</x:v>
      </x:c>
      <x:c r="D9" s="7" t="n">
        <x:f>IF(B9="","",'Sources'!$B$15*'Sources'!$B$16-'Sources'!$B$3)</x:f>
        <x:v>24.94767058823527</x:v>
      </x:c>
      <x:c r="E9" s="10" t="n">
        <x:f>IF(B9="","",D9/(B9-'Sources'!$B$3))</x:f>
        <x:v>0.676638746629652</x:v>
      </x:c>
      <x:c r="F9" s="7" t="n">
        <x:f>IF(B9="","",B9-('Sources'!$B$15*'Sources'!$B$16))</x:f>
        <x:v>11.922329411764736</x:v>
      </x:c>
      <x:c r="G9" s="10" t="n">
        <x:f>IF(B9="","",F9/(B9-'Sources'!$B$3))</x:f>
        <x:v>0.3233612533703481</x:v>
      </x:c>
      <x:c r="H9" s="9" t="n">
        <x:f>IF(B9="","",B9/'Sources'!$B$15)</x:f>
        <x:v>35.20558882235529</x:v>
      </x:c>
      <x:c r="I9" s="9" t="n">
        <x:f>IF(B9="","",(B9*'Sources'!$B$4+'Sources'!$B$25)/'Sources'!$B$23)</x:f>
        <x:v>15.450305027008975</x:v>
      </x:c>
      <x:c r="J9" s="5" t="str">
        <x:v>Verified aggregate/list</x:v>
      </x:c>
      <x:c r="K9" s="5" t="str">
        <x:v>https://www.google.com/finance/quote/FDXF:NYSE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2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2" hidden="0" customWidth="1"/>
    <x:col min="13" max="13" width="18" hidden="0" customWidth="1"/>
    <x:col min="14" max="14" width="82" hidden="0" customWidth="1"/>
  </x:cols>
  <x:sheetData>
    <x:row r="1">
      <x:c r="A1" s="18" t="str">
        <x:v>Ticker</x:v>
      </x:c>
      <x:c r="B1" s="18" t="str">
        <x:v>Company</x:v>
      </x:c>
      <x:c r="C1" s="18" t="str">
        <x:v>Price</x:v>
      </x:c>
      <x:c r="D1" s="18" t="str">
        <x:v>Market Cap ($mm)</x:v>
      </x:c>
      <x:c r="E1" s="18" t="str">
        <x:v>EV ($mm)</x:v>
      </x:c>
      <x:c r="F1" s="18" t="str">
        <x:v>Shares (mm)</x:v>
      </x:c>
      <x:c r="G1" s="18" t="str">
        <x:v>P/E</x:v>
      </x:c>
      <x:c r="H1" s="18" t="str">
        <x:v>Forward P/E</x:v>
      </x:c>
      <x:c r="I1" s="18" t="str">
        <x:v>EV/EBITDA</x:v>
      </x:c>
      <x:c r="J1" s="18" t="str">
        <x:v>EV/EBIT</x:v>
      </x:c>
      <x:c r="K1" s="18" t="str">
        <x:v>P/FCF</x:v>
      </x:c>
      <x:c r="L1" s="18" t="str">
        <x:v>FCF Yield</x:v>
      </x:c>
      <x:c r="M1" s="18" t="str">
        <x:v>3Y Revenue Growth Forecast</x:v>
      </x:c>
      <x:c r="N1" s="18" t="str">
        <x:v>Source URL</x:v>
      </x:c>
    </x:row>
    <x:row r="2">
      <x:c r="A2" s="5" t="str">
        <x:v>FDXF</x:v>
      </x:c>
      <x:c r="B2" s="5" t="str">
        <x:v>FedEx Freight</x:v>
      </x:c>
      <x:c r="C2" s="7" t="n">
        <x:v>139.51</x:v>
      </x:c>
      <x:c r="D2" s="8" t="n">
        <x:v>20860</x:v>
      </x:c>
      <x:c r="E2" s="8" t="n">
        <x:v>26970</x:v>
      </x:c>
      <x:c r="F2" s="5" t="n">
        <x:v>149.52</x:v>
      </x:c>
      <x:c r="G2" s="9" t="n">
        <x:v>31.85</x:v>
      </x:c>
      <x:c r="H2" s="9" t="n">
        <x:v>32.81</x:v>
      </x:c>
      <x:c r="I2" s="9" t="n">
        <x:v>27.27</x:v>
      </x:c>
      <x:c r="J2" s="9" t="n">
        <x:v>49.95</x:v>
      </x:c>
      <x:c r="K2" s="9"/>
      <x:c r="L2" s="10" t="n">
        <x:v>-0.0102</x:v>
      </x:c>
      <x:c r="M2" s="10" t="n">
        <x:v>3.62</x:v>
      </x:c>
      <x:c r="N2" s="5" t="str">
        <x:v>https://stockanalysis.com/stocks/fdxf/statistics/
https://stockanalysis.com/stocks/fdxf/forecast/</x:v>
      </x:c>
    </x:row>
    <x:row r="3">
      <x:c r="A3" s="5" t="str">
        <x:v>ODFL</x:v>
      </x:c>
      <x:c r="B3" s="5" t="str">
        <x:v>Old Dominion</x:v>
      </x:c>
      <x:c r="C3" s="7" t="n">
        <x:v>209.44</x:v>
      </x:c>
      <x:c r="D3" s="8" t="n">
        <x:v>43430</x:v>
      </x:c>
      <x:c r="E3" s="8" t="n">
        <x:v>43160</x:v>
      </x:c>
      <x:c r="F3" s="5" t="n">
        <x:v>207.36</x:v>
      </x:c>
      <x:c r="G3" s="9" t="n">
        <x:v>40.89</x:v>
      </x:c>
      <x:c r="H3" s="9" t="n">
        <x:v>34.11</x:v>
      </x:c>
      <x:c r="I3" s="9" t="n">
        <x:v>23.87</x:v>
      </x:c>
      <x:c r="J3" s="9" t="n">
        <x:v>29.96</x:v>
      </x:c>
      <x:c r="K3" s="9" t="n">
        <x:v>39.14</x:v>
      </x:c>
      <x:c r="L3" s="10" t="n">
        <x:v>0.0255</x:v>
      </x:c>
      <x:c r="M3" s="10" t="n">
        <x:v>7.89</x:v>
      </x:c>
      <x:c r="N3" s="5" t="str">
        <x:v>https://stockanalysis.com/stocks/odfl/statistics/</x:v>
      </x:c>
    </x:row>
    <x:row r="4">
      <x:c r="A4" s="5" t="str">
        <x:v>XPO</x:v>
      </x:c>
      <x:c r="B4" s="5" t="str">
        <x:v>XPO</x:v>
      </x:c>
      <x:c r="C4" s="7" t="n">
        <x:v>200.21</x:v>
      </x:c>
      <x:c r="D4" s="8" t="n">
        <x:v>23440</x:v>
      </x:c>
      <x:c r="E4" s="8" t="n">
        <x:v>27190</x:v>
      </x:c>
      <x:c r="F4" s="5" t="n">
        <x:v>117.09</x:v>
      </x:c>
      <x:c r="G4" s="9" t="n">
        <x:v>59.14</x:v>
      </x:c>
      <x:c r="H4" s="9" t="n">
        <x:v>34.07</x:v>
      </x:c>
      <x:c r="I4" s="9" t="n">
        <x:v>21.18</x:v>
      </x:c>
      <x:c r="J4" s="9" t="n">
        <x:v>36.16</x:v>
      </x:c>
      <x:c r="K4" s="9" t="n">
        <x:v>39.87</x:v>
      </x:c>
      <x:c r="L4" s="10" t="n">
        <x:v>0.0251</x:v>
      </x:c>
      <x:c r="M4" s="10" t="n">
        <x:v>7.58</x:v>
      </x:c>
      <x:c r="N4" s="5" t="str">
        <x:v>https://stockanalysis.com/stocks/xpo/statistics/</x:v>
      </x:c>
    </x:row>
    <x:row r="5">
      <x:c r="A5" s="5" t="str">
        <x:v>SAIA</x:v>
      </x:c>
      <x:c r="B5" s="5" t="str">
        <x:v>Saia</x:v>
      </x:c>
      <x:c r="C5" s="7" t="n">
        <x:v>356.96</x:v>
      </x:c>
      <x:c r="D5" s="8" t="n">
        <x:v>9500</x:v>
      </x:c>
      <x:c r="E5" s="8" t="n">
        <x:v>9680</x:v>
      </x:c>
      <x:c r="F5" s="5" t="n">
        <x:v>26.61</x:v>
      </x:c>
      <x:c r="G5" s="9" t="n">
        <x:v>34.46</x:v>
      </x:c>
      <x:c r="H5" s="9" t="n">
        <x:v>28.03</x:v>
      </x:c>
      <x:c r="I5" s="9" t="n">
        <x:v>15.47</x:v>
      </x:c>
      <x:c r="J5" s="9" t="n">
        <x:v>25.93</x:v>
      </x:c>
      <x:c r="K5" s="9" t="n">
        <x:v>37.34</x:v>
      </x:c>
      <x:c r="L5" s="10" t="n">
        <x:v>0.0268</x:v>
      </x:c>
      <x:c r="M5" s="10" t="n">
        <x:v>9</x:v>
      </x:c>
      <x:c r="N5" s="5" t="str">
        <x:v>https://stockanalysis.com/stocks/saia/statistics/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42" hidden="0" customWidth="1"/>
    <x:col min="4" max="4" width="38" hidden="0" customWidth="1"/>
    <x:col min="5" max="5" width="38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48" hidden="0" customWidth="1"/>
    <x:col min="12" max="12" width="88" hidden="0" customWidth="1"/>
  </x:cols>
  <x:sheetData>
    <x:row r="1">
      <x:c r="A1" s="18" t="str">
        <x:v>Ticker</x:v>
      </x:c>
      <x:c r="B1" s="18" t="str">
        <x:v>Revenue Growth</x:v>
      </x:c>
      <x:c r="C1" s="18" t="str">
        <x:v>Shipment / Tonnage Growth</x:v>
      </x:c>
      <x:c r="D1" s="18" t="str">
        <x:v>Yield / Ex-Fuel Yield</x:v>
      </x:c>
      <x:c r="E1" s="18" t="str">
        <x:v>Operating Margin / OR</x:v>
      </x:c>
      <x:c r="F1" s="18" t="str">
        <x:v>ROIC</x:v>
      </x:c>
      <x:c r="G1" s="18" t="str">
        <x:v>FCF Conversion</x:v>
      </x:c>
      <x:c r="H1" s="18" t="str">
        <x:v>Capex / Revenue</x:v>
      </x:c>
      <x:c r="I1" s="18" t="str">
        <x:v>Net Debt / EBITDA</x:v>
      </x:c>
      <x:c r="J1" s="18" t="str">
        <x:v>Mastio / Service Rank</x:v>
      </x:c>
      <x:c r="K1" s="18" t="str">
        <x:v>Claims / On-time KPI</x:v>
      </x:c>
      <x:c r="L1" s="18" t="str">
        <x:v>Source URL</x:v>
      </x:c>
    </x:row>
    <x:row r="2">
      <x:c r="A2" s="5" t="str">
        <x:v>FDXF</x:v>
      </x:c>
      <x:c r="B2" s="5" t="str">
        <x:v>4-6% medium-term target; transition +4-6% vs $5.1B seven-month 2025 base</x:v>
      </x:c>
      <x:c r="C2" s="5" t="str">
        <x:v>Q4 shipments -5.9%; FY26 revenue -1.1%</x:v>
      </x:c>
      <x:c r="D2" s="5" t="str">
        <x:v>Revenue/shipment +11.5%; revenue/cwt +8.2% in Q4</x:v>
      </x:c>
      <x:c r="E2" s="5" t="str">
        <x:v>FY26 GAAP margin 7.0%; adjusted 12.6%</x:v>
      </x:c>
      <x:c r="F2" s="5" t="n">
        <x:v>7.56</x:v>
      </x:c>
      <x:c r="G2" s="5" t="str">
        <x:v>Target &gt;90%</x:v>
      </x:c>
      <x:c r="H2" s="5" t="str">
        <x:v>~5% target</x:v>
      </x:c>
      <x:c r="I2" s="5" t="n">
        <x:v>4.91</x:v>
      </x:c>
      <x:c r="J2" s="5" t="str">
        <x:v>Public rank weaker than ODFL/XPO/Saia in cited survey</x:v>
      </x:c>
      <x:c r="K2" s="5" t="str">
        <x:v>Record-low DOT preventable accident performance; published transit/service claims</x:v>
      </x:c>
      <x:c r="L2" s="5" t="str">
        <x:v>https://ir.fedexfreight.com/news-events/press-releases/detail/185/fedex-freight-reports-fourth-quarter-and-full-fiscal-year-2026-financial-results
https://investors.fedex.com/news-and-events/investor-news/investor-news-details/2026/FedEx-Freight-Hosts-Inaugural-Investor-Day-Ahead-of-Planned-Spinoff-from-FedEx/default.aspx
https://stockanalysis.com/stocks/fdxf/statistics/
https://www.gain.consulting/post/2025-mastio-ltl-carrier-rankings-insights-into-customer-value-and-loyalty</x:v>
      </x:c>
    </x:row>
    <x:row r="3">
      <x:c r="A3" s="5" t="str">
        <x:v>ODFL</x:v>
      </x:c>
      <x:c r="B3" s="5" t="str">
        <x:v>3Y revenue forecast 7.89%; Q1 revenue -2.9%</x:v>
      </x:c>
      <x:c r="C3" s="5" t="str">
        <x:v>Q1 demand improved; May tons/day -3.8%, shipments/day -5.3%</x:v>
      </x:c>
      <x:c r="D3" s="5" t="str">
        <x:v>May QTD rev/cwt ex fuel +5.4%</x:v>
      </x:c>
      <x:c r="E3" s="5" t="str">
        <x:v>Q1 OR 76.2%; TTM operating margin 25.42%</x:v>
      </x:c>
      <x:c r="F3" s="5" t="n">
        <x:v>25.36</x:v>
      </x:c>
      <x:c r="G3" s="5" t="str">
        <x:v>TTM FCF / NI approx 102%</x:v>
      </x:c>
      <x:c r="H3" s="5" t="str">
        <x:v>TTM capex/revenue approx 5.0%</x:v>
      </x:c>
      <x:c r="I3" s="5" t="n">
        <x:v>0.01</x:v>
      </x:c>
      <x:c r="J3" s="5" t="str">
        <x:v>Mastio national #1 / best traditional quality proxy</x:v>
      </x:c>
      <x:c r="K3" s="5" t="str">
        <x:v>99% on-time and claims below 0.1% in Q1</x:v>
      </x:c>
      <x:c r="L3" s="5" t="str">
        <x:v>https://www.sec.gov/Archives/edgar/data/878927/000087892726000009/odfl-ex99_1.htm
https://ir.odfl.com/sec-filings/all-sec-filings/content/0000878927-26-000015/odfl-ex99_1.htm
https://stockanalysis.com/stocks/odfl/statistics/
https://www.gain.consulting/post/2025-mastio-ltl-carrier-rankings-insights-into-customer-value-and-loyalty</x:v>
      </x:c>
    </x:row>
    <x:row r="4">
      <x:c r="A4" s="5" t="str">
        <x:v>XPO</x:v>
      </x:c>
      <x:c r="B4" s="5" t="str">
        <x:v>3Y revenue forecast 7.58%; Q1 company revenue +7.3%</x:v>
      </x:c>
      <x:c r="C4" s="5" t="str">
        <x:v>Q1 LTL shipments/day +3.0%; tonnage/day +0.1%</x:v>
      </x:c>
      <x:c r="D4" s="5" t="str">
        <x:v>Q1 LTL yield ex fuel +4.0%</x:v>
      </x:c>
      <x:c r="E4" s="5" t="str">
        <x:v>Q1 NA LTL adjusted OR 83.9%; TTM operating margin 9.90%</x:v>
      </x:c>
      <x:c r="F4" s="5" t="n">
        <x:v>11.03</x:v>
      </x:c>
      <x:c r="G4" s="5" t="str">
        <x:v>TTM FCF / NI approx 146%</x:v>
      </x:c>
      <x:c r="H4" s="5" t="str">
        <x:v>TTM capex/revenue approx 5.8%</x:v>
      </x:c>
      <x:c r="I4" s="5" t="n">
        <x:v>3.15</x:v>
      </x:c>
      <x:c r="J4" s="5" t="str">
        <x:v>Mastio national #4 in cited survey</x:v>
      </x:c>
      <x:c r="K4" s="5" t="str">
        <x:v>Damage claims ratio below 0.2% in Q1</x:v>
      </x:c>
      <x:c r="L4" s="5" t="str">
        <x:v>https://investors.xpo.com/news-releases/news-release-details/xpo-reports-first-quarter-2026-results/
https://stockanalysis.com/stocks/xpo/statistics/
https://www.gain.consulting/post/2025-mastio-ltl-carrier-rankings-insights-into-customer-value-and-loyalty</x:v>
      </x:c>
    </x:row>
    <x:row r="5">
      <x:c r="A5" s="5" t="str">
        <x:v>SAIA</x:v>
      </x:c>
      <x:c r="B5" s="5" t="str">
        <x:v>3Y revenue forecast 9.00%; Q1 revenue +2.4%</x:v>
      </x:c>
      <x:c r="C5" s="5" t="str">
        <x:v>Q1 shipments/day +1.0%; tonnage/day -2.1%; Apr/May QTD shipments +4.6%</x:v>
      </x:c>
      <x:c r="D5" s="5" t="str">
        <x:v>Q1 rev/cwt ex fuel +1.9%; Apr/May tonnage +7.6%</x:v>
      </x:c>
      <x:c r="E5" s="5" t="str">
        <x:v>Q1 OR 91.7%; TTM operating margin 10.68%</x:v>
      </x:c>
      <x:c r="F5" s="5" t="n">
        <x:v>9.53</x:v>
      </x:c>
      <x:c r="G5" s="5" t="str">
        <x:v>TTM FCF / NI approx 92%</x:v>
      </x:c>
      <x:c r="H5" s="5" t="str">
        <x:v>TTM capex/revenue approx 10.4%</x:v>
      </x:c>
      <x:c r="I5" s="5" t="n">
        <x:v>0.43</x:v>
      </x:c>
      <x:c r="J5" s="5" t="str">
        <x:v>Mastio national #5/#6 depending cited year</x:v>
      </x:c>
      <x:c r="K5" s="5" t="str">
        <x:v>Current claims ratio not found in public source reviewed</x:v>
      </x:c>
      <x:c r="L5" s="5" t="str">
        <x:v>https://www.sec.gov/Archives/edgar/data/1177702/000119312526194062/saia-ex99_1.htm
https://www.sec.gov/Archives/edgar/data/1177702/000119312526252530/saia-ex99_1.htm
https://stockanalysis.com/stocks/saia/statistics/
https://www.gain.consulting/post/2025-mastio-ltl-carrier-rankings-insights-into-customer-value-and-loyalty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0" hidden="0" customWidth="1"/>
    <x:col min="13" max="13" width="10" hidden="0" customWidth="1"/>
    <x:col min="14" max="14" width="52" hidden="0" customWidth="1"/>
  </x:cols>
  <x:sheetData>
    <x:row r="1">
      <x:c r="A1" s="18" t="str">
        <x:v>Ticker</x:v>
      </x:c>
      <x:c r="B1" s="18" t="str">
        <x:v>Metric</x:v>
      </x:c>
      <x:c r="C1" s="18" t="str">
        <x:v>Current</x:v>
      </x:c>
      <x:c r="D1" s="18" t="str">
        <x:v>FY2025</x:v>
      </x:c>
      <x:c r="E1" s="18" t="str">
        <x:v>FY2024</x:v>
      </x:c>
      <x:c r="F1" s="18" t="str">
        <x:v>FY2023</x:v>
      </x:c>
      <x:c r="G1" s="18" t="str">
        <x:v>FY2022</x:v>
      </x:c>
      <x:c r="H1" s="18" t="str">
        <x:v>FY2021</x:v>
      </x:c>
      <x:c r="I1" s="18" t="str">
        <x:v>Median</x:v>
      </x:c>
      <x:c r="J1" s="18" t="str">
        <x:v>25th Percentile</x:v>
      </x:c>
      <x:c r="K1" s="18" t="str">
        <x:v>75th Percentile</x:v>
      </x:c>
      <x:c r="L1" s="18" t="str">
        <x:v>Low</x:v>
      </x:c>
      <x:c r="M1" s="18" t="str">
        <x:v>High</x:v>
      </x:c>
      <x:c r="N1" s="18" t="str">
        <x:v>Annotation</x:v>
      </x:c>
    </x:row>
    <x:row r="2">
      <x:c r="A2" s="5" t="str">
        <x:v>ODFL</x:v>
      </x:c>
      <x:c r="B2" s="5" t="str">
        <x:v>Forward P/E</x:v>
      </x:c>
      <x:c r="C2" s="9" t="n">
        <x:v>34.11</x:v>
      </x:c>
      <x:c r="D2" s="9" t="n">
        <x:v>32.07</x:v>
      </x:c>
      <x:c r="E2" s="9" t="n">
        <x:v>32.27</x:v>
      </x:c>
      <x:c r="F2" s="9" t="n">
        <x:v>31.75</x:v>
      </x:c>
      <x:c r="G2" s="9" t="n">
        <x:v>24.28</x:v>
      </x:c>
      <x:c r="H2" s="9" t="n">
        <x:v>35.73</x:v>
      </x:c>
      <x:c r="I2" s="9" t="n">
        <x:f>MEDIAN(C2:H2)</x:f>
        <x:v>32.17</x:v>
      </x:c>
      <x:c r="J2" s="9" t="n">
        <x:f>QUARTILE.INC(C2:H2,1)</x:f>
        <x:v>31.83</x:v>
      </x:c>
      <x:c r="K2" s="9" t="n">
        <x:f>QUARTILE.INC(C2:H2,3)</x:f>
        <x:v>33.65</x:v>
      </x:c>
      <x:c r="L2" s="9" t="n">
        <x:f>MIN(C2:H2)</x:f>
        <x:v>24.28</x:v>
      </x:c>
      <x:c r="M2" s="9" t="n">
        <x:f>MAX(C2:H2)</x:f>
        <x:v>35.73</x:v>
      </x:c>
      <x:c r="N2" s="5" t="str">
        <x:v>Premium traditional LTL; relatively clean history</x:v>
      </x:c>
    </x:row>
    <x:row r="3">
      <x:c r="A3" s="5" t="str">
        <x:v>ODFL</x:v>
      </x:c>
      <x:c r="B3" s="5" t="str">
        <x:v>EV/EBITDA</x:v>
      </x:c>
      <x:c r="C3" s="9" t="n">
        <x:v>23.87</x:v>
      </x:c>
      <x:c r="D3" s="9" t="n">
        <x:v>18.9</x:v>
      </x:c>
      <x:c r="E3" s="9" t="n">
        <x:v>19.87</x:v>
      </x:c>
      <x:c r="F3" s="9" t="n">
        <x:v>22.3</x:v>
      </x:c>
      <x:c r="G3" s="9" t="n">
        <x:v>14.71</x:v>
      </x:c>
      <x:c r="H3" s="9" t="n">
        <x:v>24.58</x:v>
      </x:c>
      <x:c r="I3" s="9" t="n">
        <x:f>MEDIAN(C3:H3)</x:f>
        <x:v>21.085</x:v>
      </x:c>
      <x:c r="J3" s="9" t="n">
        <x:f>QUARTILE.INC(C3:H3,1)</x:f>
        <x:v>19.1425</x:v>
      </x:c>
      <x:c r="K3" s="9" t="n">
        <x:f>QUARTILE.INC(C3:H3,3)</x:f>
        <x:v>23.4775</x:v>
      </x:c>
      <x:c r="L3" s="9" t="n">
        <x:f>MIN(C3:H3)</x:f>
        <x:v>14.71</x:v>
      </x:c>
      <x:c r="M3" s="9" t="n">
        <x:f>MAX(C3:H3)</x:f>
        <x:v>24.58</x:v>
      </x:c>
      <x:c r="N3" s="5" t="str">
        <x:v>Premium traditional LTL; relatively clean history</x:v>
      </x:c>
    </x:row>
    <x:row r="4">
      <x:c r="A4" s="5" t="str">
        <x:v>XPO</x:v>
      </x:c>
      <x:c r="B4" s="5" t="str">
        <x:v>Forward P/E</x:v>
      </x:c>
      <x:c r="C4" s="9" t="n">
        <x:v>34.07</x:v>
      </x:c>
      <x:c r="D4" s="9" t="n">
        <x:v>32.51</x:v>
      </x:c>
      <x:c r="E4" s="9" t="n">
        <x:v>32.39</x:v>
      </x:c>
      <x:c r="F4" s="9" t="n">
        <x:v>26.01</x:v>
      </x:c>
      <x:c r="G4" s="9" t="n">
        <x:v>9.84</x:v>
      </x:c>
      <x:c r="H4" s="9" t="n">
        <x:v>17.06</x:v>
      </x:c>
      <x:c r="I4" s="9" t="n">
        <x:f>MEDIAN(C4:H4)</x:f>
        <x:v>29.200000000000003</x:v>
      </x:c>
      <x:c r="J4" s="9" t="n">
        <x:f>QUARTILE.INC(C4:H4,1)</x:f>
        <x:v>19.2975</x:v>
      </x:c>
      <x:c r="K4" s="9" t="n">
        <x:f>QUARTILE.INC(C4:H4,3)</x:f>
        <x:v>32.48</x:v>
      </x:c>
      <x:c r="L4" s="9" t="n">
        <x:f>MIN(C4:H4)</x:f>
        <x:v>9.84</x:v>
      </x:c>
      <x:c r="M4" s="9" t="n">
        <x:f>MAX(C4:H4)</x:f>
        <x:v>34.07</x:v>
      </x:c>
      <x:c r="N4" s="5" t="str">
        <x:v>Pre- and during-transformation history not directly comparable</x:v>
      </x:c>
    </x:row>
    <x:row r="5">
      <x:c r="A5" s="5" t="str">
        <x:v>XPO</x:v>
      </x:c>
      <x:c r="B5" s="5" t="str">
        <x:v>EV/EBITDA</x:v>
      </x:c>
      <x:c r="C5" s="9" t="n">
        <x:v>21.2</x:v>
      </x:c>
      <x:c r="D5" s="9" t="n">
        <x:v>16.72</x:v>
      </x:c>
      <x:c r="E5" s="9" t="n">
        <x:v>16.73</x:v>
      </x:c>
      <x:c r="F5" s="9" t="n">
        <x:v>15.94</x:v>
      </x:c>
      <x:c r="G5" s="9" t="n">
        <x:v>8.62</x:v>
      </x:c>
      <x:c r="H5" s="9" t="n">
        <x:v>13.38</x:v>
      </x:c>
      <x:c r="I5" s="9" t="n">
        <x:f>MEDIAN(C5:H5)</x:f>
        <x:v>16.33</x:v>
      </x:c>
      <x:c r="J5" s="9" t="n">
        <x:f>QUARTILE.INC(C5:H5,1)</x:f>
        <x:v>14.02</x:v>
      </x:c>
      <x:c r="K5" s="9" t="n">
        <x:f>QUARTILE.INC(C5:H5,3)</x:f>
        <x:v>16.7275</x:v>
      </x:c>
      <x:c r="L5" s="9" t="n">
        <x:f>MIN(C5:H5)</x:f>
        <x:v>8.62</x:v>
      </x:c>
      <x:c r="M5" s="9" t="n">
        <x:f>MAX(C5:H5)</x:f>
        <x:v>21.2</x:v>
      </x:c>
      <x:c r="N5" s="5" t="str">
        <x:v>Pre- and during-transformation history not directly comparable</x:v>
      </x:c>
    </x:row>
    <x:row r="6">
      <x:c r="A6" s="5" t="str">
        <x:v>SAIA</x:v>
      </x:c>
      <x:c r="B6" s="5" t="str">
        <x:v>Forward P/E</x:v>
      </x:c>
      <x:c r="C6" s="9" t="n">
        <x:v>28.18</x:v>
      </x:c>
      <x:c r="D6" s="9" t="n">
        <x:v>32.21</x:v>
      </x:c>
      <x:c r="E6" s="9" t="n">
        <x:v>30.83</x:v>
      </x:c>
      <x:c r="F6" s="9" t="n">
        <x:v>28.34</x:v>
      </x:c>
      <x:c r="G6" s="9" t="n">
        <x:v>16.19</x:v>
      </x:c>
      <x:c r="H6" s="9" t="n">
        <x:v>30.16</x:v>
      </x:c>
      <x:c r="I6" s="9" t="n">
        <x:f>MEDIAN(C6:H6)</x:f>
        <x:v>29.25</x:v>
      </x:c>
      <x:c r="J6" s="9" t="n">
        <x:f>QUARTILE.INC(C6:H6,1)</x:f>
        <x:v>28.22</x:v>
      </x:c>
      <x:c r="K6" s="9" t="n">
        <x:f>QUARTILE.INC(C6:H6,3)</x:f>
        <x:v>30.6625</x:v>
      </x:c>
      <x:c r="L6" s="9" t="n">
        <x:f>MIN(C6:H6)</x:f>
        <x:v>16.19</x:v>
      </x:c>
      <x:c r="M6" s="9" t="n">
        <x:f>MAX(C6:H6)</x:f>
        <x:v>32.21</x:v>
      </x:c>
      <x:c r="N6" s="5" t="str">
        <x:v>Terminal expansion and Yellow absorption period need annotation</x:v>
      </x:c>
    </x:row>
    <x:row r="7">
      <x:c r="A7" s="5" t="str">
        <x:v>SAIA</x:v>
      </x:c>
      <x:c r="B7" s="5" t="str">
        <x:v>EV/EBITDA</x:v>
      </x:c>
      <x:c r="C7" s="9" t="n">
        <x:v>15.37</x:v>
      </x:c>
      <x:c r="D7" s="9" t="n">
        <x:v>14.96</x:v>
      </x:c>
      <x:c r="E7" s="9" t="n">
        <x:v>17.95</x:v>
      </x:c>
      <x:c r="F7" s="9" t="n">
        <x:v>17.95</x:v>
      </x:c>
      <x:c r="G7" s="9" t="n">
        <x:v>8.79</x:v>
      </x:c>
      <x:c r="H7" s="9" t="n">
        <x:v>18.73</x:v>
      </x:c>
      <x:c r="I7" s="9" t="n">
        <x:f>MEDIAN(C7:H7)</x:f>
        <x:v>16.66</x:v>
      </x:c>
      <x:c r="J7" s="9" t="n">
        <x:f>QUARTILE.INC(C7:H7,1)</x:f>
        <x:v>15.0625</x:v>
      </x:c>
      <x:c r="K7" s="9" t="n">
        <x:f>QUARTILE.INC(C7:H7,3)</x:f>
        <x:v>17.95</x:v>
      </x:c>
      <x:c r="L7" s="9" t="n">
        <x:f>MIN(C7:H7)</x:f>
        <x:v>8.79</x:v>
      </x:c>
      <x:c r="M7" s="9" t="n">
        <x:f>MAX(C7:H7)</x:f>
        <x:v>18.73</x:v>
      </x:c>
      <x:c r="N7" s="5" t="str">
        <x:v>Terminal expansion and Yellow absorption period need annotation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8" hidden="0" customWidth="1"/>
    <x:col min="4" max="4" width="24" hidden="0" customWidth="1"/>
    <x:col min="5" max="5" width="22" hidden="0" customWidth="1"/>
    <x:col min="6" max="6" width="72" hidden="0" customWidth="1"/>
  </x:cols>
  <x:sheetData>
    <x:row r="1">
      <x:c r="A1" s="18" t="str">
        <x:v>Case</x:v>
      </x:c>
      <x:c r="B1" s="18" t="str">
        <x:v>Multiple Basis</x:v>
      </x:c>
      <x:c r="C1" s="18" t="str">
        <x:v>EV/EBITDA Multiple</x:v>
      </x:c>
      <x:c r="D1" s="18" t="str">
        <x:v>Implied Equity Value / Share</x:v>
      </x:c>
      <x:c r="E1" s="18" t="str">
        <x:v>Premium / Discount to Current</x:v>
      </x:c>
      <x:c r="F1" s="18" t="str">
        <x:v>Operating Characteristics Needed</x:v>
      </x:c>
    </x:row>
    <x:row r="2">
      <x:c r="A2" s="5" t="str">
        <x:v>CASE A - NO RERATING</x:v>
      </x:c>
      <x:c r="B2" s="5" t="str">
        <x:v>Current adjusted FDXF EV/EBITDA proxy</x:v>
      </x:c>
      <x:c r="C2" s="9" t="n">
        <x:f>'Sources'!$B$17</x:f>
        <x:v>17.321772639691716</x:v>
      </x:c>
      <x:c r="D2" s="7" t="n">
        <x:f>(('Sources'!$B$23*C2)-'Sources'!$B$25)/'Sources'!$B$4</x:f>
        <x:v>201.88427257203784</x:v>
      </x:c>
      <x:c r="E2" s="10" t="n">
        <x:f>D2/'Sources'!$B$3-1</x:f>
        <x:v>0.44709535210406326</x:v>
      </x:c>
      <x:c r="F2" s="5" t="str">
        <x:v>Requires management CAGR/margin target to work without multiple help; no peer-quality premium assumed</x:v>
      </x:c>
    </x:row>
    <x:row r="3">
      <x:c r="A3" s="5" t="str">
        <x:v>CASE B - SAIA-LIKE</x:v>
      </x:c>
      <x:c r="B3" s="5" t="str">
        <x:v>SAIA current EV/EBITDA</x:v>
      </x:c>
      <x:c r="C3" s="9" t="n">
        <x:v>15.47</x:v>
      </x:c>
      <x:c r="D3" s="7" t="n">
        <x:f>(('Sources'!$B$23*C3)-'Sources'!$B$25)/'Sources'!$B$4</x:f>
        <x:v>176.64840216526215</x:v>
      </x:c>
      <x:c r="E3" s="10" t="n">
        <x:f>D3/'Sources'!$B$3-1</x:f>
        <x:v>0.2662060222583482</x:v>
      </x:c>
      <x:c r="F3" s="5" t="str">
        <x:v>Would require improved growth credibility without ODFL-level OR/service premium</x:v>
      </x:c>
    </x:row>
    <x:row r="4">
      <x:c r="A4" s="5" t="str">
        <x:v>CASE C - XPO-LIKE</x:v>
      </x:c>
      <x:c r="B4" s="5" t="str">
        <x:v>XPO current EV/EBITDA</x:v>
      </x:c>
      <x:c r="C4" s="9" t="n">
        <x:v>21.18</x:v>
      </x:c>
      <x:c r="D4" s="7" t="n">
        <x:f>(('Sources'!$B$23*C4)-'Sources'!$B$25)/'Sources'!$B$4</x:f>
        <x:v>254.46401350655427</x:v>
      </x:c>
      <x:c r="E4" s="10" t="n">
        <x:f>D4/'Sources'!$B$3-1</x:f>
        <x:v>0.8239840406175492</x:v>
      </x:c>
      <x:c r="F4" s="5" t="str">
        <x:v>Would require credible margin-improvement story and tech/productivity execution</x:v>
      </x:c>
    </x:row>
    <x:row r="5">
      <x:c r="A5" s="5" t="str">
        <x:v>CASE D - ODFL-LIKE</x:v>
      </x:c>
      <x:c r="B5" s="5" t="str">
        <x:v>ODFL current EV/EBITDA</x:v>
      </x:c>
      <x:c r="C5" s="9" t="n">
        <x:v>23.87</x:v>
      </x:c>
      <x:c r="D5" s="7" t="n">
        <x:f>(('Sources'!$B$23*C5)-'Sources'!$B$25)/'Sources'!$B$4</x:f>
        <x:v>291.12320694054307</x:v>
      </x:c>
      <x:c r="E5" s="10" t="n">
        <x:f>D5/'Sources'!$B$3-1</x:f>
        <x:v>1.086755121070483</x:v>
      </x:c>
      <x:c r="F5" s="5" t="str">
        <x:v>Would require sustained best-in-class OR, ROIC, claims/on-time proof and pricing quality</x:v>
      </x:c>
    </x:row>
    <x:row r="6">
      <x:c r="A6" s="5" t="str">
        <x:v>Street consensus target</x:v>
      </x:c>
      <x:c r="B6" s="5" t="str">
        <x:v>Consensus target implied terminal EV/EBITDA</x:v>
      </x:c>
      <x:c r="C6" s="9" t="n">
        <x:f>(169.42*'Sources'!$B$4+'Sources'!$B$25)/'Sources'!$B$23</x:f>
        <x:v>14.939590026317184</x:v>
      </x:c>
      <x:c r="D6" s="7" t="n">
        <x:f>(('Sources'!$B$23*C6)-'Sources'!$B$25)/'Sources'!$B$4</x:f>
        <x:v>169.42</x:v>
      </x:c>
      <x:c r="E6" s="10" t="n">
        <x:f>D6/'Sources'!$B$3-1</x:f>
        <x:v>0.21439323345996697</x:v>
      </x:c>
      <x:c r="F6" s="5" t="str">
        <x:v>Uses consensus target price against same terminal EBITDA base</x:v>
      </x:c>
    </x:row>
    <x:row r="7">
      <x:c r="A7" s="5" t="str">
        <x:v>Jefferies $200 target</x:v>
      </x:c>
      <x:c r="B7" s="5" t="str">
        <x:v>High target implied terminal EV/EBITDA</x:v>
      </x:c>
      <x:c r="C7" s="9" t="n">
        <x:f>(200*'Sources'!$B$4+'Sources'!$B$25)/'Sources'!$B$23</x:f>
        <x:v>17.183507371310707</x:v>
      </x:c>
      <x:c r="D7" s="7" t="n">
        <x:f>(('Sources'!$B$23*C7)-'Sources'!$B$25)/'Sources'!$B$4</x:f>
        <x:v>200</x:v>
      </x:c>
      <x:c r="E7" s="10" t="n">
        <x:f>D7/'Sources'!$B$3-1</x:f>
        <x:v>0.4335889900365566</x:v>
      </x:c>
      <x:c r="F7" s="5" t="str">
        <x:v>Highest verified target requires larger rerating or more fundamentals than base case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8" t="str">
        <x:v>Terminal EBITDA ($mm) \ EV/EBITDA</x:v>
      </x:c>
      <x:c r="B1" s="18" t="str">
        <x:v>12.0x</x:v>
      </x:c>
      <x:c r="C1" s="18" t="str">
        <x:v>15.0x</x:v>
      </x:c>
      <x:c r="D1" s="18" t="str">
        <x:v>17.5x</x:v>
      </x:c>
      <x:c r="E1" s="18" t="str">
        <x:v>20.0x</x:v>
      </x:c>
      <x:c r="F1" s="18" t="str">
        <x:v>22.5x</x:v>
      </x:c>
      <x:c r="G1" s="18" t="str">
        <x:v>25.0x</x:v>
      </x:c>
    </x:row>
    <x:row r="2">
      <x:c r="A2" s="5" t="n">
        <x:v>1600</x:v>
      </x:c>
      <x:c r="B2" s="7" t="n">
        <x:f>(($A2*VALUE(SUBSTITUTE(B$1,"x","")))-'Sources'!$B$25)/'Sources'!$B$4</x:f>
        <x:v>94.23488496522204</x:v>
      </x:c>
      <x:c r="C2" s="7" t="n">
        <x:f>(($A2*VALUE(SUBSTITUTE(C$1,"x","")))-'Sources'!$B$25)/'Sources'!$B$4</x:f>
        <x:v>126.33761369716424</x:v>
      </x:c>
      <x:c r="D2" s="7" t="n">
        <x:f>(($A2*VALUE(SUBSTITUTE(D$1,"x","")))-'Sources'!$B$25)/'Sources'!$B$4</x:f>
        <x:v>153.08988764044943</x:v>
      </x:c>
      <x:c r="E2" s="7" t="n">
        <x:f>(($A2*VALUE(SUBSTITUTE(E$1,"x","")))-'Sources'!$B$25)/'Sources'!$B$4</x:f>
        <x:v>179.8421615837346</x:v>
      </x:c>
      <x:c r="F2" s="7" t="n">
        <x:f>(($A2*VALUE(SUBSTITUTE(F$1,"x","")))-'Sources'!$B$25)/'Sources'!$B$4</x:f>
        <x:v>206.59443552701978</x:v>
      </x:c>
      <x:c r="G2" s="7" t="n">
        <x:f>(($A2*VALUE(SUBSTITUTE(G$1,"x","")))-'Sources'!$B$25)/'Sources'!$B$4</x:f>
        <x:v>233.34670947030497</x:v>
      </x:c>
    </x:row>
    <x:row r="3">
      <x:c r="A3" s="5" t="n">
        <x:v>1800</x:v>
      </x:c>
      <x:c r="B3" s="7" t="n">
        <x:f>(($A3*VALUE(SUBSTITUTE(B$1,"x","")))-'Sources'!$B$25)/'Sources'!$B$4</x:f>
        <x:v>110.28624933119315</x:v>
      </x:c>
      <x:c r="C3" s="7" t="n">
        <x:f>(($A3*VALUE(SUBSTITUTE(C$1,"x","")))-'Sources'!$B$25)/'Sources'!$B$4</x:f>
        <x:v>146.40181915462813</x:v>
      </x:c>
      <x:c r="D3" s="7" t="n">
        <x:f>(($A3*VALUE(SUBSTITUTE(D$1,"x","")))-'Sources'!$B$25)/'Sources'!$B$4</x:f>
        <x:v>176.49812734082397</x:v>
      </x:c>
      <x:c r="E3" s="7" t="n">
        <x:f>(($A3*VALUE(SUBSTITUTE(E$1,"x","")))-'Sources'!$B$25)/'Sources'!$B$4</x:f>
        <x:v>206.59443552701978</x:v>
      </x:c>
      <x:c r="F3" s="7" t="n">
        <x:f>(($A3*VALUE(SUBSTITUTE(F$1,"x","")))-'Sources'!$B$25)/'Sources'!$B$4</x:f>
        <x:v>236.6907437132156</x:v>
      </x:c>
      <x:c r="G3" s="7" t="n">
        <x:f>(($A3*VALUE(SUBSTITUTE(G$1,"x","")))-'Sources'!$B$25)/'Sources'!$B$4</x:f>
        <x:v>266.78705189941144</x:v>
      </x:c>
    </x:row>
    <x:row r="4">
      <x:c r="A4" s="5" t="n">
        <x:v>2000</x:v>
      </x:c>
      <x:c r="B4" s="7" t="n">
        <x:f>(($A4*VALUE(SUBSTITUTE(B$1,"x","")))-'Sources'!$B$25)/'Sources'!$B$4</x:f>
        <x:v>126.33761369716424</x:v>
      </x:c>
      <x:c r="C4" s="7" t="n">
        <x:f>(($A4*VALUE(SUBSTITUTE(C$1,"x","")))-'Sources'!$B$25)/'Sources'!$B$4</x:f>
        <x:v>166.466024612092</x:v>
      </x:c>
      <x:c r="D4" s="7" t="n">
        <x:f>(($A4*VALUE(SUBSTITUTE(D$1,"x","")))-'Sources'!$B$25)/'Sources'!$B$4</x:f>
        <x:v>199.90636704119848</x:v>
      </x:c>
      <x:c r="E4" s="7" t="n">
        <x:f>(($A4*VALUE(SUBSTITUTE(E$1,"x","")))-'Sources'!$B$25)/'Sources'!$B$4</x:f>
        <x:v>233.34670947030497</x:v>
      </x:c>
      <x:c r="F4" s="7" t="n">
        <x:f>(($A4*VALUE(SUBSTITUTE(F$1,"x","")))-'Sources'!$B$25)/'Sources'!$B$4</x:f>
        <x:v>266.78705189941144</x:v>
      </x:c>
      <x:c r="G4" s="7" t="n">
        <x:f>(($A4*VALUE(SUBSTITUTE(G$1,"x","")))-'Sources'!$B$25)/'Sources'!$B$4</x:f>
        <x:v>300.2273943285179</x:v>
      </x:c>
    </x:row>
    <x:row r="5">
      <x:c r="A5" s="5" t="n">
        <x:v>2200</x:v>
      </x:c>
      <x:c r="B5" s="7" t="n">
        <x:f>(($A5*VALUE(SUBSTITUTE(B$1,"x","")))-'Sources'!$B$25)/'Sources'!$B$4</x:f>
        <x:v>142.38897806313537</x:v>
      </x:c>
      <x:c r="C5" s="7" t="n">
        <x:f>(($A5*VALUE(SUBSTITUTE(C$1,"x","")))-'Sources'!$B$25)/'Sources'!$B$4</x:f>
        <x:v>186.5302300695559</x:v>
      </x:c>
      <x:c r="D5" s="7" t="n">
        <x:f>(($A5*VALUE(SUBSTITUTE(D$1,"x","")))-'Sources'!$B$25)/'Sources'!$B$4</x:f>
        <x:v>223.31460674157302</x:v>
      </x:c>
      <x:c r="E5" s="7" t="n">
        <x:f>(($A5*VALUE(SUBSTITUTE(E$1,"x","")))-'Sources'!$B$25)/'Sources'!$B$4</x:f>
        <x:v>260.09898341359013</x:v>
      </x:c>
      <x:c r="F5" s="7" t="n">
        <x:f>(($A5*VALUE(SUBSTITUTE(F$1,"x","")))-'Sources'!$B$25)/'Sources'!$B$4</x:f>
        <x:v>296.88336008560725</x:v>
      </x:c>
      <x:c r="G5" s="7" t="n">
        <x:f>(($A5*VALUE(SUBSTITUTE(G$1,"x","")))-'Sources'!$B$25)/'Sources'!$B$4</x:f>
        <x:v>333.66773675762437</x:v>
      </x:c>
    </x:row>
    <x:row r="6">
      <x:c r="A6" s="5" t="n">
        <x:v>2400</x:v>
      </x:c>
      <x:c r="B6" s="7" t="n">
        <x:f>(($A6*VALUE(SUBSTITUTE(B$1,"x","")))-'Sources'!$B$25)/'Sources'!$B$4</x:f>
        <x:v>158.44034242910647</x:v>
      </x:c>
      <x:c r="C6" s="7" t="n">
        <x:f>(($A6*VALUE(SUBSTITUTE(C$1,"x","")))-'Sources'!$B$25)/'Sources'!$B$4</x:f>
        <x:v>206.59443552701978</x:v>
      </x:c>
      <x:c r="D6" s="7" t="n">
        <x:f>(($A6*VALUE(SUBSTITUTE(D$1,"x","")))-'Sources'!$B$25)/'Sources'!$B$4</x:f>
        <x:v>246.72284644194755</x:v>
      </x:c>
      <x:c r="E6" s="7" t="n">
        <x:f>(($A6*VALUE(SUBSTITUTE(E$1,"x","")))-'Sources'!$B$25)/'Sources'!$B$4</x:f>
        <x:v>286.8512573568753</x:v>
      </x:c>
      <x:c r="F6" s="7" t="n">
        <x:f>(($A6*VALUE(SUBSTITUTE(F$1,"x","")))-'Sources'!$B$25)/'Sources'!$B$4</x:f>
        <x:v>326.97966827180306</x:v>
      </x:c>
      <x:c r="G6" s="7" t="n">
        <x:f>(($A6*VALUE(SUBSTITUTE(G$1,"x","")))-'Sources'!$B$25)/'Sources'!$B$4</x:f>
        <x:v>367.10807918673083</x:v>
      </x:c>
    </x:row>
    <x:row r="7">
      <x:c r="A7" s="5" t="str"/>
      <x:c r="B7" s="5" t="str"/>
      <x:c r="C7" s="5" t="str"/>
      <x:c r="D7" s="5" t="str"/>
      <x:c r="E7" s="5" t="str"/>
      <x:c r="F7" s="5" t="str"/>
      <x:c r="G7" s="5" t="str"/>
    </x:row>
    <x:row r="8">
      <x:c r="A8" s="5" t="str">
        <x:v>Revenue CAGR \ Terminal Op Margin</x:v>
      </x:c>
      <x:c r="B8" s="5" t="str">
        <x:v>12.0%</x:v>
      </x:c>
      <x:c r="C8" s="5" t="str">
        <x:v>14.0%</x:v>
      </x:c>
      <x:c r="D8" s="5" t="str">
        <x:v>16.0%</x:v>
      </x:c>
      <x:c r="E8" s="5" t="str">
        <x:v>18.0%</x:v>
      </x:c>
      <x:c r="F8" s="5" t="str"/>
      <x:c r="G8" s="5" t="str"/>
    </x:row>
    <x:row r="9">
      <x:c r="A9" s="5" t="str">
        <x:v>2.0%</x:v>
      </x:c>
      <x:c r="B9" s="5"/>
      <x:c r="C9" s="5"/>
      <x:c r="D9" s="5"/>
      <x:c r="E9" s="5"/>
      <x:c r="F9" s="5" t="str"/>
      <x:c r="G9" s="5" t="str"/>
    </x:row>
    <x:row r="10">
      <x:c r="A10" s="5" t="str">
        <x:v>4.0%</x:v>
      </x:c>
      <x:c r="B10" s="7" t="n">
        <x:f>((('Sources'!$B$8*(1+VALUE(SUBSTITUTE($A10,"%",""))/100)^3)*(VALUE(SUBSTITUTE(B$9,"%",""))/100+'Sources'!$B$20)*'Sources'!$B$17)-'Sources'!$B$25)/'Sources'!$B$4</x:f>
        <x:v>24.33522383560599</x:v>
      </x:c>
      <x:c r="C10" s="7" t="n">
        <x:f>((('Sources'!$B$8*(1+VALUE(SUBSTITUTE($A10,"%",""))/100)^3)*(VALUE(SUBSTITUTE(C$9,"%",""))/100+'Sources'!$B$20)*'Sources'!$B$17)-'Sources'!$B$25)/'Sources'!$B$4</x:f>
        <x:v>24.33522383560599</x:v>
      </x:c>
      <x:c r="D10" s="7" t="n">
        <x:f>((('Sources'!$B$8*(1+VALUE(SUBSTITUTE($A10,"%",""))/100)^3)*(VALUE(SUBSTITUTE(D$9,"%",""))/100+'Sources'!$B$20)*'Sources'!$B$17)-'Sources'!$B$25)/'Sources'!$B$4</x:f>
        <x:v>24.33522383560599</x:v>
      </x:c>
      <x:c r="E10" s="7" t="n">
        <x:f>((('Sources'!$B$8*(1+VALUE(SUBSTITUTE($A10,"%",""))/100)^3)*(VALUE(SUBSTITUTE(E$9,"%",""))/100+'Sources'!$B$20)*'Sources'!$B$17)-'Sources'!$B$25)/'Sources'!$B$4</x:f>
        <x:v>24.33522383560599</x:v>
      </x:c>
      <x:c r="F10" s="5" t="str"/>
      <x:c r="G10" s="5" t="str"/>
    </x:row>
    <x:row r="11">
      <x:c r="A11" s="5" t="str">
        <x:v>6.0%</x:v>
      </x:c>
      <x:c r="B11" s="7" t="n">
        <x:f>((('Sources'!$B$8*(1+VALUE(SUBSTITUTE($A11,"%",""))/100)^3)*(VALUE(SUBSTITUTE(B$9,"%",""))/100+'Sources'!$B$20)*'Sources'!$B$17)-'Sources'!$B$25)/'Sources'!$B$4</x:f>
        <x:v>27.77620555540092</x:v>
      </x:c>
      <x:c r="C11" s="7" t="n">
        <x:f>((('Sources'!$B$8*(1+VALUE(SUBSTITUTE($A11,"%",""))/100)^3)*(VALUE(SUBSTITUTE(C$9,"%",""))/100+'Sources'!$B$20)*'Sources'!$B$17)-'Sources'!$B$25)/'Sources'!$B$4</x:f>
        <x:v>27.77620555540092</x:v>
      </x:c>
      <x:c r="D11" s="7" t="n">
        <x:f>((('Sources'!$B$8*(1+VALUE(SUBSTITUTE($A11,"%",""))/100)^3)*(VALUE(SUBSTITUTE(D$9,"%",""))/100+'Sources'!$B$20)*'Sources'!$B$17)-'Sources'!$B$25)/'Sources'!$B$4</x:f>
        <x:v>27.77620555540092</x:v>
      </x:c>
      <x:c r="E11" s="7" t="n">
        <x:f>((('Sources'!$B$8*(1+VALUE(SUBSTITUTE($A11,"%",""))/100)^3)*(VALUE(SUBSTITUTE(E$9,"%",""))/100+'Sources'!$B$20)*'Sources'!$B$17)-'Sources'!$B$25)/'Sources'!$B$4</x:f>
        <x:v>27.77620555540092</x:v>
      </x:c>
      <x:c r="F11" s="5" t="str"/>
      <x:c r="G11" s="5" t="str"/>
    </x:row>
    <x:row r="12">
      <x:c r="A12" s="5" t="str">
        <x:v>8.0%</x:v>
      </x:c>
      <x:c r="B12" s="7" t="n">
        <x:f>((('Sources'!$B$8*(1+VALUE(SUBSTITUTE($A12,"%",""))/100)^3)*(VALUE(SUBSTITUTE(B$9,"%",""))/100+'Sources'!$B$20)*'Sources'!$B$17)-'Sources'!$B$25)/'Sources'!$B$4</x:f>
        <x:v>31.34951672094442</x:v>
      </x:c>
      <x:c r="C12" s="7" t="n">
        <x:f>((('Sources'!$B$8*(1+VALUE(SUBSTITUTE($A12,"%",""))/100)^3)*(VALUE(SUBSTITUTE(C$9,"%",""))/100+'Sources'!$B$20)*'Sources'!$B$17)-'Sources'!$B$25)/'Sources'!$B$4</x:f>
        <x:v>31.34951672094442</x:v>
      </x:c>
      <x:c r="D12" s="7" t="n">
        <x:f>((('Sources'!$B$8*(1+VALUE(SUBSTITUTE($A12,"%",""))/100)^3)*(VALUE(SUBSTITUTE(D$9,"%",""))/100+'Sources'!$B$20)*'Sources'!$B$17)-'Sources'!$B$25)/'Sources'!$B$4</x:f>
        <x:v>31.34951672094442</x:v>
      </x:c>
      <x:c r="E12" s="7" t="n">
        <x:f>((('Sources'!$B$8*(1+VALUE(SUBSTITUTE($A12,"%",""))/100)^3)*(VALUE(SUBSTITUTE(E$9,"%",""))/100+'Sources'!$B$20)*'Sources'!$B$17)-'Sources'!$B$25)/'Sources'!$B$4</x:f>
        <x:v>31.34951672094442</x:v>
      </x:c>
      <x:c r="F12" s="5" t="str"/>
      <x:c r="G12" s="5" t="str"/>
    </x:row>
    <x:row r="13">
      <x:c r="B13" s="19" t="n">
        <x:f>((('Sources'!$B$8*(1+VALUE(SUBSTITUTE($A13,"%",""))/100)^3)*(VALUE(SUBSTITUTE(B$9,"%",""))/100+'Sources'!$B$20)*'Sources'!$B$17)-'Sources'!$B$25)/'Sources'!$B$4</x:f>
        <x:v>17.840261605280766</x:v>
      </x:c>
      <x:c r="C13" s="19" t="n">
        <x:f>((('Sources'!$B$8*(1+VALUE(SUBSTITUTE($A13,"%",""))/100)^3)*(VALUE(SUBSTITUTE(C$9,"%",""))/100+'Sources'!$B$20)*'Sources'!$B$17)-'Sources'!$B$25)/'Sources'!$B$4</x:f>
        <x:v>17.840261605280766</x:v>
      </x:c>
      <x:c r="D13" s="19" t="n">
        <x:f>((('Sources'!$B$8*(1+VALUE(SUBSTITUTE($A13,"%",""))/100)^3)*(VALUE(SUBSTITUTE(D$9,"%",""))/100+'Sources'!$B$20)*'Sources'!$B$17)-'Sources'!$B$25)/'Sources'!$B$4</x:f>
        <x:v>17.840261605280766</x:v>
      </x:c>
      <x:c r="E13" s="19" t="n">
        <x:f>((('Sources'!$B$8*(1+VALUE(SUBSTITUTE($A13,"%",""))/100)^3)*(VALUE(SUBSTITUTE(E$9,"%",""))/100+'Sources'!$B$20)*'Sources'!$B$17)-'Sources'!$B$25)/'Sources'!$B$4</x:f>
        <x:v>17.840261605280766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72" hidden="0" customWidth="1"/>
    <x:col min="4" max="4" width="20" hidden="0" customWidth="1"/>
  </x:cols>
  <x:sheetData>
    <x:row r="1">
      <x:c r="A1" s="3" t="str">
        <x:v>Assumption</x:v>
      </x:c>
      <x:c r="B1" s="3" t="str">
        <x:v>Value</x:v>
      </x:c>
      <x:c r="C1" s="3" t="str">
        <x:v>Notes</x:v>
      </x:c>
      <x:c r="D1" s="3" t="str">
        <x:v>Source URL</x:v>
      </x:c>
    </x:row>
    <x:row r="2">
      <x:c r="A2" s="5" t="str">
        <x:v>As-of date</x:v>
      </x:c>
      <x:c r="B2" s="5" t="str">
        <x:v>2026-08-11</x:v>
      </x:c>
      <x:c r="C2" s="5" t="str">
        <x:v>Latest public market snapshot used where available</x:v>
      </x:c>
      <x:c r="D2" s="5" t="str">
        <x:v>https://stockanalysis.com/stocks/fdxf/statistics/</x:v>
      </x:c>
    </x:row>
    <x:row r="3">
      <x:c r="A3" s="5" t="str">
        <x:v>FDXF current price ($/sh)</x:v>
      </x:c>
      <x:c r="B3" s="11" t="n">
        <x:v>139.51</x:v>
      </x:c>
      <x:c r="C3" s="5" t="str">
        <x:v>StockAnalysis close, Aug. 11, 2026</x:v>
      </x:c>
      <x:c r="D3" s="5" t="str">
        <x:v>https://stockanalysis.com/stocks/fdxf/statistics/</x:v>
      </x:c>
    </x:row>
    <x:row r="4">
      <x:c r="A4" s="5" t="str">
        <x:v>FDXF shares outstanding (mm)</x:v>
      </x:c>
      <x:c r="B4" s="12" t="n">
        <x:v>149.52</x:v>
      </x:c>
      <x:c r="C4" s="5" t="str">
        <x:v>StockAnalysis share statistics</x:v>
      </x:c>
      <x:c r="D4" s="5" t="str">
        <x:v>https://stockanalysis.com/stocks/fdxf/statistics/</x:v>
      </x:c>
    </x:row>
    <x:row r="5">
      <x:c r="A5" s="5" t="str">
        <x:v>FDXF market cap ($mm)</x:v>
      </x:c>
      <x:c r="B5" s="12" t="n">
        <x:v>20860</x:v>
      </x:c>
      <x:c r="C5" s="5" t="str">
        <x:v>StockAnalysis total valuation</x:v>
      </x:c>
      <x:c r="D5" s="5" t="str">
        <x:v>https://stockanalysis.com/stocks/fdxf/statistics/</x:v>
      </x:c>
    </x:row>
    <x:row r="6">
      <x:c r="A6" s="5" t="str">
        <x:v>FDXF enterprise value ($mm)</x:v>
      </x:c>
      <x:c r="B6" s="12" t="n">
        <x:v>26970</x:v>
      </x:c>
      <x:c r="C6" s="5" t="str">
        <x:v>StockAnalysis total valuation</x:v>
      </x:c>
      <x:c r="D6" s="5" t="str">
        <x:v>https://stockanalysis.com/stocks/fdxf/statistics/</x:v>
      </x:c>
    </x:row>
    <x:row r="7">
      <x:c r="A7" s="5" t="str">
        <x:v>FDXF net debt ($mm)</x:v>
      </x:c>
      <x:c r="B7" s="15" t="n">
        <x:f>B6-B5</x:f>
        <x:v>6110</x:v>
      </x:c>
      <x:c r="C7" s="5" t="str">
        <x:v>Formula: EV less equity market cap</x:v>
      </x:c>
      <x:c r="D7" s="5" t="str">
        <x:v>https://stockanalysis.com/stocks/fdxf/statistics/</x:v>
      </x:c>
    </x:row>
    <x:row r="8">
      <x:c r="A8" s="5" t="str">
        <x:v>FDXF FY26 revenue ($mm)</x:v>
      </x:c>
      <x:c r="B8" s="12" t="n">
        <x:v>8800</x:v>
      </x:c>
      <x:c r="C8" s="5" t="str">
        <x:v>StockAnalysis and FDXF FY26 release</x:v>
      </x:c>
      <x:c r="D8" s="5" t="str">
        <x:v>https://stockanalysis.com/stocks/fdxf/statistics/
https://ir.fedexfreight.com/news-events/press-releases/detail/185/fedex-freight-reports-fourth-quarter-and-full-fiscal-year-2026-financial-results</x:v>
      </x:c>
    </x:row>
    <x:row r="9">
      <x:c r="A9" s="5" t="str">
        <x:v>FDXF FY26 GAAP operating income ($mm)</x:v>
      </x:c>
      <x:c r="B9" s="12" t="n">
        <x:v>616</x:v>
      </x:c>
      <x:c r="C9" s="5" t="str">
        <x:v>Company full fiscal 2026 highlight</x:v>
      </x:c>
      <x:c r="D9" s="5" t="str">
        <x:v>https://ir.fedexfreight.com/news-events/press-releases/detail/185/fedex-freight-reports-fourth-quarter-and-full-fiscal-year-2026-financial-results</x:v>
      </x:c>
    </x:row>
    <x:row r="10">
      <x:c r="A10" s="5" t="str">
        <x:v>FDXF FY26 adjusted operating income ($mm)</x:v>
      </x:c>
      <x:c r="B10" s="12" t="n">
        <x:v>1108</x:v>
      </x:c>
      <x:c r="C10" s="5" t="str">
        <x:v>Company non-GAAP reconciliation</x:v>
      </x:c>
      <x:c r="D10" s="5" t="str">
        <x:v>https://ir.fedexfreight.com/news-events/press-releases/detail/185/fedex-freight-reports-fourth-quarter-and-full-fiscal-year-2026-financial-results</x:v>
      </x:c>
    </x:row>
    <x:row r="11">
      <x:c r="A11" s="5" t="str">
        <x:v>FDXF depreciation and amortization ($mm)</x:v>
      </x:c>
      <x:c r="B11" s="12" t="n">
        <x:v>449</x:v>
      </x:c>
      <x:c r="C11" s="5" t="str">
        <x:v>StockAnalysis cash flow disclosure</x:v>
      </x:c>
      <x:c r="D11" s="5" t="str">
        <x:v>https://stockanalysis.com/stocks/fdxf/statistics/</x:v>
      </x:c>
    </x:row>
    <x:row r="12">
      <x:c r="A12" s="5" t="str">
        <x:v>FDXF adjusted EBITDA proxy ($mm)</x:v>
      </x:c>
      <x:c r="B12" s="15" t="n">
        <x:f>B10+B11</x:f>
        <x:v>1557</x:v>
      </x:c>
      <x:c r="C12" s="5" t="str">
        <x:v>Adjusted OI plus D&amp;A proxy</x:v>
      </x:c>
      <x:c r="D12" s="5" t="str">
        <x:v>https://ir.fedexfreight.com/news-events/press-releases/detail/185/fedex-freight-reports-fourth-quarter-and-full-fiscal-year-2026-financial-results
https://stockanalysis.com/stocks/fdxf/statistics/</x:v>
      </x:c>
    </x:row>
    <x:row r="13">
      <x:c r="A13" s="5" t="str">
        <x:v>FDXF current GAAP EBITDA ($mm)</x:v>
      </x:c>
      <x:c r="B13" s="12" t="n">
        <x:v>989</x:v>
      </x:c>
      <x:c r="C13" s="5" t="str">
        <x:v>StockAnalysis income statement</x:v>
      </x:c>
      <x:c r="D13" s="5" t="str">
        <x:v>https://stockanalysis.com/stocks/fdxf/statistics/</x:v>
      </x:c>
    </x:row>
    <x:row r="14">
      <x:c r="A14" s="5" t="str">
        <x:v>FDXF FY26 EPS consensus / adjusted ($/sh)</x:v>
      </x:c>
      <x:c r="B14" s="11" t="n">
        <x:v>4.25</x:v>
      </x:c>
      <x:c r="C14" s="5" t="str">
        <x:v>StockAnalysis forecast</x:v>
      </x:c>
      <x:c r="D14" s="5" t="str">
        <x:v>https://stockanalysis.com/stocks/fdxf/forecast/</x:v>
      </x:c>
    </x:row>
    <x:row r="15">
      <x:c r="A15" s="5" t="str">
        <x:v>FDXF FY27 EPS consensus ($/sh)</x:v>
      </x:c>
      <x:c r="B15" s="11" t="n">
        <x:v>5.01</x:v>
      </x:c>
      <x:c r="C15" s="5" t="str">
        <x:v>StockAnalysis forecast</x:v>
      </x:c>
      <x:c r="D15" s="5" t="str">
        <x:v>https://stockanalysis.com/stocks/fdxf/forecast/</x:v>
      </x:c>
    </x:row>
    <x:row r="16">
      <x:c r="A16" s="5" t="str">
        <x:v>Current FY26 forward P/E</x:v>
      </x:c>
      <x:c r="B16" s="16" t="n">
        <x:f>B3/B14</x:f>
        <x:v>32.82588235294117</x:v>
      </x:c>
      <x:c r="C16" s="5" t="str">
        <x:v>Current price divided by FY26 EPS</x:v>
      </x:c>
      <x:c r="D16" s="5" t="str">
        <x:v>https://stockanalysis.com/stocks/fdxf/statistics/
https://stockanalysis.com/stocks/fdxf/forecast/</x:v>
      </x:c>
    </x:row>
    <x:row r="17">
      <x:c r="A17" s="5" t="str">
        <x:v>Current adjusted EV/EBITDA proxy</x:v>
      </x:c>
      <x:c r="B17" s="16" t="n">
        <x:f>B6/B12</x:f>
        <x:v>17.321772639691716</x:v>
      </x:c>
      <x:c r="C17" s="5" t="str">
        <x:v>Current EV divided by adjusted EBITDA proxy</x:v>
      </x:c>
      <x:c r="D17" s="5" t="str">
        <x:v>https://stockanalysis.com/stocks/fdxf/statistics/
https://ir.fedexfreight.com/news-events/press-releases/detail/185/fedex-freight-reports-fourth-quarter-and-full-fiscal-year-2026-financial-results</x:v>
      </x:c>
    </x:row>
    <x:row r="18">
      <x:c r="A18" s="5" t="str">
        <x:v>Medium-term revenue CAGR</x:v>
      </x:c>
      <x:c r="B18" s="14" t="n">
        <x:v>0.05</x:v>
      </x:c>
      <x:c r="C18" s="5" t="str">
        <x:v>Midpoint of management 4-6% framework</x:v>
      </x:c>
      <x:c r="D18" s="5" t="str">
        <x:v>https://investors.fedex.com/news-and-events/investor-news/investor-news-details/2026/FedEx-Freight-Hosts-Inaugural-Investor-Day-Ahead-of-Planned-Spinoff-from-FedEx/default.aspx</x:v>
      </x:c>
    </x:row>
    <x:row r="19">
      <x:c r="A19" s="5" t="str">
        <x:v>Terminal adjusted operating margin</x:v>
      </x:c>
      <x:c r="B19" s="14" t="n">
        <x:v>0.149</x:v>
      </x:c>
      <x:c r="C19" s="5" t="str">
        <x:v>Approx. implied by adjusted OI growth against revenue growth</x:v>
      </x:c>
      <x:c r="D19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0">
      <x:c r="A20" s="5" t="str">
        <x:v>D&amp;A / revenue assumption</x:v>
      </x:c>
      <x:c r="B20" s="17" t="n">
        <x:f>B11/B8</x:f>
        <x:v>0.051022727272727275</x:v>
      </x:c>
      <x:c r="C20" s="5" t="str">
        <x:v>Current D&amp;A as % of revenue</x:v>
      </x:c>
      <x:c r="D20" s="5" t="str">
        <x:v>https://stockanalysis.com/stocks/fdxf/statistics/</x:v>
      </x:c>
    </x:row>
    <x:row r="21">
      <x:c r="A21" s="5" t="str">
        <x:v>Terminal year revenue ($mm)</x:v>
      </x:c>
      <x:c r="B21" s="15" t="n">
        <x:f>B8*(1+B18)^3</x:f>
        <x:v>10187.1</x:v>
      </x:c>
      <x:c r="C21" s="5" t="str">
        <x:v>FY26 revenue compounded for three years</x:v>
      </x:c>
      <x:c r="D21" s="5" t="str">
        <x:v>https://investors.fedex.com/news-and-events/investor-news/investor-news-details/2026/FedEx-Freight-Hosts-Inaugural-Investor-Day-Ahead-of-Planned-Spinoff-from-FedEx/default.aspx</x:v>
      </x:c>
    </x:row>
    <x:row r="22">
      <x:c r="A22" s="5" t="str">
        <x:v>Terminal adjusted operating income ($mm)</x:v>
      </x:c>
      <x:c r="B22" s="15" t="n">
        <x:f>B21*B19</x:f>
        <x:v>1517.8779</x:v>
      </x:c>
      <x:c r="C22" s="5" t="str">
        <x:v>Revenue times operating margin</x:v>
      </x:c>
      <x:c r="D22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3">
      <x:c r="A23" s="5" t="str">
        <x:v>Terminal EBITDA base ($mm)</x:v>
      </x:c>
      <x:c r="B23" s="15" t="n">
        <x:f>B22+B21*B20</x:f>
        <x:v>2037.651525</x:v>
      </x:c>
      <x:c r="C23" s="5" t="str">
        <x:v>Adjusted OI plus D&amp;A proxy</x:v>
      </x:c>
      <x:c r="D23" s="5" t="str">
        <x:v>https://investors.fedex.com/news-and-events/investor-news/investor-news-details/2026/FedEx-Freight-Hosts-Inaugural-Investor-Day-Ahead-of-Planned-Spinoff-from-FedEx/default.aspx
https://ir.fedexfreight.com/news-events/press-releases/detail/185/fedex-freight-reports-fourth-quarter-and-full-fiscal-year-2026-financial-results</x:v>
      </x:c>
    </x:row>
    <x:row r="24">
      <x:c r="A24" s="5" t="str">
        <x:v>Assumed net debt reduction through terminal ($mm)</x:v>
      </x:c>
      <x:c r="B24" s="12" t="n">
        <x:v>1000</x:v>
      </x:c>
      <x:c r="C24" s="5" t="str">
        <x:v>Illustrative deleveraging input; user editable</x:v>
      </x:c>
      <x:c r="D24" s="5" t="str">
        <x:v>Analyst assumption</x:v>
      </x:c>
    </x:row>
    <x:row r="25">
      <x:c r="A25" s="5" t="str">
        <x:v>Terminal net debt ($mm)</x:v>
      </x:c>
      <x:c r="B25" s="15" t="n">
        <x:f>MAX(B7-B24,0)</x:f>
        <x:v>5110</x:v>
      </x:c>
      <x:c r="C25" s="5" t="str">
        <x:v>Current net debt less assumed reduction, floored at zero</x:v>
      </x:c>
      <x:c r="D25" s="5" t="str">
        <x:v>Formula</x:v>
      </x:c>
    </x:row>
    <x:row r="26">
      <x:c r="A26" s="5" t="str"/>
      <x:c r="B26" s="5" t="str"/>
      <x:c r="C26" s="5" t="str"/>
      <x:c r="D26" s="5" t="str"/>
    </x:row>
    <x:row r="27">
      <x:c r="A27" s="6" t="str">
        <x:v>Source ID</x:v>
      </x:c>
      <x:c r="B27" s="6" t="str">
        <x:v>URL / Path</x:v>
      </x:c>
      <x:c r="C27" s="6" t="str">
        <x:v>Use</x:v>
      </x:c>
      <x:c r="D27" s="6" t="str"/>
    </x:row>
    <x:row r="28">
      <x:c r="A28" s="5" t="str">
        <x:v>FDXF_STATS</x:v>
      </x:c>
      <x:c r="B28" s="5" t="str">
        <x:v>https://stockanalysis.com/stocks/fdxf/statistics/</x:v>
      </x:c>
      <x:c r="C28" s="5" t="str">
        <x:v>Used for target verification, peer valuation, operating metrics or prior-thesis context</x:v>
      </x:c>
      <x:c r="D28" s="5" t="str"/>
    </x:row>
    <x:row r="29">
      <x:c r="A29" s="5" t="str">
        <x:v>FDXF_FORECAST</x:v>
      </x:c>
      <x:c r="B29" s="5" t="str">
        <x:v>https://stockanalysis.com/stocks/fdxf/forecast/</x:v>
      </x:c>
      <x:c r="C29" s="5" t="str">
        <x:v>Used for target verification, peer valuation, operating metrics or prior-thesis context</x:v>
      </x:c>
      <x:c r="D29" s="5" t="str"/>
    </x:row>
    <x:row r="30">
      <x:c r="A30" s="5" t="str">
        <x:v>FDXF_Q4</x:v>
      </x:c>
      <x:c r="B30" s="5" t="str">
        <x:v>https://ir.fedexfreight.com/news-events/press-releases/detail/185/fedex-freight-reports-fourth-quarter-and-full-fiscal-year-2026-financial-results</x:v>
      </x:c>
      <x:c r="C30" s="5" t="str">
        <x:v>Used for target verification, peer valuation, operating metrics or prior-thesis context</x:v>
      </x:c>
      <x:c r="D30" s="5" t="str"/>
    </x:row>
    <x:row r="31">
      <x:c r="A31" s="5" t="str">
        <x:v>FDXF_INVESTOR_DAY</x:v>
      </x:c>
      <x:c r="B31" s="5" t="str">
        <x:v>https://investors.fedex.com/news-and-events/investor-news/investor-news-details/2026/FedEx-Freight-Hosts-Inaugural-Investor-Day-Ahead-of-Planned-Spinoff-from-FedEx/default.aspx</x:v>
      </x:c>
      <x:c r="C31" s="5" t="str">
        <x:v>Used for target verification, peer valuation, operating metrics or prior-thesis context</x:v>
      </x:c>
      <x:c r="D31" s="5" t="str"/>
    </x:row>
    <x:row r="32">
      <x:c r="A32" s="5" t="str">
        <x:v>JEFFERIES</x:v>
      </x:c>
      <x:c r="B32" s="5" t="str">
        <x:v>https://www.investing.com/news/analyst-ratings/jefferies-initiates-fedex-freight-stock-with-buy-rating-200-target-93CH-4754826</x:v>
      </x:c>
      <x:c r="C32" s="5" t="str">
        <x:v>Used for target verification, peer valuation, operating metrics or prior-thesis context</x:v>
      </x:c>
      <x:c r="D32" s="5" t="str"/>
    </x:row>
    <x:row r="33">
      <x:c r="A33" s="5" t="str">
        <x:v>RAYMOND_JAMES</x:v>
      </x:c>
      <x:c r="B33" s="5" t="str">
        <x:v>https://www.investing.com/news/analyst-ratings/raymond-james-initiates-fedex-freight-stock-with-outperform-rating-93CH-4723983</x:v>
      </x:c>
      <x:c r="C33" s="5" t="str">
        <x:v>Used for target verification, peer valuation, operating metrics or prior-thesis context</x:v>
      </x:c>
      <x:c r="D33" s="5" t="str"/>
    </x:row>
    <x:row r="34">
      <x:c r="A34" s="5" t="str">
        <x:v>GOLDMAN</x:v>
      </x:c>
      <x:c r="B34" s="5" t="str">
        <x:v>https://www.investing.com/news/analyst-ratings/goldman-sachs-initiates-fedex-freight-stock-with-buy-rating-93CH-4769606</x:v>
      </x:c>
      <x:c r="C34" s="5" t="str">
        <x:v>Used for target verification, peer valuation, operating metrics or prior-thesis context</x:v>
      </x:c>
      <x:c r="D34" s="5" t="str"/>
    </x:row>
    <x:row r="35">
      <x:c r="A35" s="5" t="str">
        <x:v>BOFA</x:v>
      </x:c>
      <x:c r="B35" s="5" t="str">
        <x:v>https://www.marketscreener.com/news/bofa-securities-adjusts-price-target-on-fedex-freight-to-187-from-185-maintains-buy-rating-ce7f5fd9df89f127</x:v>
      </x:c>
      <x:c r="C35" s="5" t="str">
        <x:v>Used for target verification, peer valuation, operating metrics or prior-thesis context</x:v>
      </x:c>
      <x:c r="D35" s="5" t="str"/>
    </x:row>
    <x:row r="36">
      <x:c r="A36" s="5" t="str">
        <x:v>BOFA_INIT</x:v>
      </x:c>
      <x:c r="B36" s="5" t="str">
        <x:v>https://www.streetinsider.com/Analyst%2BComments/BofA%2BSecurities%2BStarts%2BFedEx%2BFreight%2BHolding%2BCompany%2B%28FDXF%29%2Bat%2BBuy/26580889.html</x:v>
      </x:c>
      <x:c r="C36" s="5" t="str">
        <x:v>Used for target verification, peer valuation, operating metrics or prior-thesis context</x:v>
      </x:c>
      <x:c r="D36" s="5" t="str"/>
    </x:row>
    <x:row r="37">
      <x:c r="A37" s="5" t="str">
        <x:v>MORNINGSTAR</x:v>
      </x:c>
      <x:c r="B37" s="5" t="str">
        <x:v>https://www.morningstar.com/company-reports/1484081-following-spinoff-we-are-initiating-coverage-on-fedex-freight-with-102-fair-value-estimate</x:v>
      </x:c>
      <x:c r="C37" s="5" t="str">
        <x:v>Used for target verification, peer valuation, operating metrics or prior-thesis context</x:v>
      </x:c>
      <x:c r="D37" s="5" t="str"/>
    </x:row>
    <x:row r="38">
      <x:c r="A38" s="5" t="str">
        <x:v>GOOGLE_FINANCE</x:v>
      </x:c>
      <x:c r="B38" s="5" t="str">
        <x:v>https://www.google.com/finance/quote/FDXF:NYSE</x:v>
      </x:c>
      <x:c r="C38" s="5" t="str">
        <x:v>Used for target verification, peer valuation, operating metrics or prior-thesis context</x:v>
      </x:c>
      <x:c r="D38" s="5" t="str"/>
    </x:row>
    <x:row r="39">
      <x:c r="A39" s="5" t="str">
        <x:v>ODFL_STATS</x:v>
      </x:c>
      <x:c r="B39" s="5" t="str">
        <x:v>https://stockanalysis.com/stocks/odfl/statistics/</x:v>
      </x:c>
      <x:c r="C39" s="5" t="str">
        <x:v>Used for target verification, peer valuation, operating metrics or prior-thesis context</x:v>
      </x:c>
      <x:c r="D39" s="5" t="str"/>
    </x:row>
    <x:row r="40">
      <x:c r="A40" s="5" t="str">
        <x:v>ODFL_RATIOS</x:v>
      </x:c>
      <x:c r="B40" s="5" t="str">
        <x:v>https://stockanalysis.com/stocks/odfl/financials/ratios/</x:v>
      </x:c>
      <x:c r="C40" s="5" t="str">
        <x:v>Used for target verification, peer valuation, operating metrics or prior-thesis context</x:v>
      </x:c>
      <x:c r="D40" s="5" t="str"/>
    </x:row>
    <x:row r="41">
      <x:c r="A41" s="5" t="str">
        <x:v>ODFL_Q1</x:v>
      </x:c>
      <x:c r="B41" s="5" t="str">
        <x:v>https://www.sec.gov/Archives/edgar/data/878927/000087892726000009/odfl-ex99_1.htm</x:v>
      </x:c>
      <x:c r="C41" s="5" t="str">
        <x:v>Used for target verification, peer valuation, operating metrics or prior-thesis context</x:v>
      </x:c>
      <x:c r="D41" s="5" t="str"/>
    </x:row>
    <x:row r="42">
      <x:c r="A42" s="5" t="str">
        <x:v>ODFL_QTD</x:v>
      </x:c>
      <x:c r="B42" s="5" t="str">
        <x:v>https://ir.odfl.com/sec-filings/all-sec-filings/content/0000878927-26-000015/odfl-ex99_1.htm</x:v>
      </x:c>
      <x:c r="C42" s="5" t="str">
        <x:v>Used for target verification, peer valuation, operating metrics or prior-thesis context</x:v>
      </x:c>
      <x:c r="D42" s="5" t="str"/>
    </x:row>
    <x:row r="43">
      <x:c r="A43" s="5" t="str">
        <x:v>XPO_STATS</x:v>
      </x:c>
      <x:c r="B43" s="5" t="str">
        <x:v>https://stockanalysis.com/stocks/xpo/statistics/</x:v>
      </x:c>
      <x:c r="C43" s="5" t="str">
        <x:v>Used for target verification, peer valuation, operating metrics or prior-thesis context</x:v>
      </x:c>
      <x:c r="D43" s="5" t="str"/>
    </x:row>
    <x:row r="44">
      <x:c r="A44" s="5" t="str">
        <x:v>XPO_RATIOS</x:v>
      </x:c>
      <x:c r="B44" s="5" t="str">
        <x:v>https://stockanalysis.com/stocks/xpo/financials/ratios/</x:v>
      </x:c>
      <x:c r="C44" s="5" t="str">
        <x:v>Used for target verification, peer valuation, operating metrics or prior-thesis context</x:v>
      </x:c>
      <x:c r="D44" s="5" t="str"/>
    </x:row>
    <x:row r="45">
      <x:c r="A45" s="5" t="str">
        <x:v>XPO_Q1</x:v>
      </x:c>
      <x:c r="B45" s="5" t="str">
        <x:v>https://investors.xpo.com/news-releases/news-release-details/xpo-reports-first-quarter-2026-results/</x:v>
      </x:c>
      <x:c r="C45" s="5" t="str">
        <x:v>Used for target verification, peer valuation, operating metrics or prior-thesis context</x:v>
      </x:c>
      <x:c r="D45" s="5" t="str"/>
    </x:row>
    <x:row r="46">
      <x:c r="A46" s="5" t="str">
        <x:v>SAIA_STATS</x:v>
      </x:c>
      <x:c r="B46" s="5" t="str">
        <x:v>https://stockanalysis.com/stocks/saia/statistics/</x:v>
      </x:c>
      <x:c r="C46" s="5" t="str">
        <x:v>Used for target verification, peer valuation, operating metrics or prior-thesis context</x:v>
      </x:c>
      <x:c r="D46" s="5" t="str"/>
    </x:row>
    <x:row r="47">
      <x:c r="A47" s="5" t="str">
        <x:v>SAIA_RATIOS</x:v>
      </x:c>
      <x:c r="B47" s="5" t="str">
        <x:v>https://stockanalysis.com/stocks/saia/financials/ratios/</x:v>
      </x:c>
      <x:c r="C47" s="5" t="str">
        <x:v>Used for target verification, peer valuation, operating metrics or prior-thesis context</x:v>
      </x:c>
      <x:c r="D47" s="5" t="str"/>
    </x:row>
    <x:row r="48">
      <x:c r="A48" s="5" t="str">
        <x:v>SAIA_Q1</x:v>
      </x:c>
      <x:c r="B48" s="5" t="str">
        <x:v>https://www.sec.gov/Archives/edgar/data/1177702/000119312526194062/saia-ex99_1.htm</x:v>
      </x:c>
      <x:c r="C48" s="5" t="str">
        <x:v>Used for target verification, peer valuation, operating metrics or prior-thesis context</x:v>
      </x:c>
      <x:c r="D48" s="5" t="str"/>
    </x:row>
    <x:row r="49">
      <x:c r="A49" s="5" t="str">
        <x:v>SAIA_QTD</x:v>
      </x:c>
      <x:c r="B49" s="5" t="str">
        <x:v>https://www.sec.gov/Archives/edgar/data/1177702/000119312526252530/saia-ex99_1.htm</x:v>
      </x:c>
      <x:c r="C49" s="5" t="str">
        <x:v>Used for target verification, peer valuation, operating metrics or prior-thesis context</x:v>
      </x:c>
      <x:c r="D49" s="5" t="str"/>
    </x:row>
    <x:row r="50">
      <x:c r="A50" s="5" t="str">
        <x:v>MASTIO</x:v>
      </x:c>
      <x:c r="B50" s="5" t="str">
        <x:v>https://www.gain.consulting/post/2025-mastio-ltl-carrier-rankings-insights-into-customer-value-and-loyalty</x:v>
      </x:c>
      <x:c r="C50" s="5" t="str">
        <x:v>Used for target verification, peer valuation, operating metrics or prior-thesis context</x:v>
      </x:c>
      <x:c r="D50" s="5" t="str"/>
    </x:row>
    <x:row r="51">
      <x:c r="A51" s="5" t="str">
        <x:v>PHASE3</x:v>
      </x:c>
      <x:c r="B51" s="5" t="str">
        <x:v>C:/Users/wei34/Java without ONe/CAD_AI/outputs/phase3_amazon_ltl_overlap/Amazon_LTL_FDXF_Overlap.xlsx</x:v>
      </x:c>
      <x:c r="C51" s="5" t="str">
        <x:v>Used for target verification, peer valuation, operating metrics or prior-thesis context</x:v>
      </x:c>
      <x:c r="D51" s="5" t="str"/>
    </x:row>
    <x:row r="52">
      <x:c r="A52" s="5"/>
      <x:c r="B52" s="5"/>
      <x:c r="C52" s="5"/>
      <x:c r="D52" s="5"/>
    </x:row>
    <x:row r="53">
      <x:c r="A53" s="5"/>
      <x:c r="B53" s="5"/>
      <x:c r="C53" s="5"/>
      <x:c r="D53" s="5"/>
    </x:row>
    <x:row r="54">
      <x:c r="A54" s="5"/>
      <x:c r="B54" s="5"/>
      <x:c r="C54" s="5"/>
      <x:c r="D54" s="5"/>
    </x:row>
    <x:row r="55">
      <x:c r="A55" s="5"/>
      <x:c r="B55" s="5"/>
      <x:c r="C55" s="5"/>
      <x:c r="D55" s="5"/>
    </x:row>
    <x:row r="56">
      <x:c r="A56" s="5"/>
      <x:c r="B56" s="5"/>
      <x:c r="C56" s="5"/>
      <x:c r="D56" s="5"/>
    </x:row>
    <x:row r="57">
      <x:c r="A57" s="5"/>
      <x:c r="B57" s="5"/>
      <x:c r="C57" s="5"/>
      <x:c r="D57" s="5"/>
    </x:row>
    <x:row r="58">
      <x:c r="A58" s="5"/>
      <x:c r="B58" s="5"/>
      <x:c r="C58" s="5"/>
      <x:c r="D58" s="5"/>
    </x:row>
    <x:row r="59">
      <x:c r="A59" s="5"/>
      <x:c r="B59" s="5"/>
      <x:c r="C59" s="5"/>
      <x:c r="D59" s="5"/>
    </x:row>
    <x:row r="60">
      <x:c r="A60" s="5"/>
      <x:c r="B60" s="5"/>
      <x:c r="C60" s="5"/>
      <x:c r="D60" s="5"/>
    </x:row>
    <x:row r="61">
      <x:c r="A61" s="5"/>
      <x:c r="B61" s="5"/>
      <x:c r="C61" s="5"/>
      <x:c r="D61" s="5"/>
    </x:row>
    <x:row r="62">
      <x:c r="A62" s="5"/>
      <x:c r="B62" s="5"/>
      <x:c r="C62" s="5"/>
      <x:c r="D62" s="5"/>
    </x:row>
    <x:row r="63">
      <x:c r="A63" s="5"/>
      <x:c r="B63" s="5"/>
      <x:c r="C63" s="5"/>
      <x:c r="D63" s="5"/>
    </x:row>
    <x:row r="64">
      <x:c r="A64" s="5"/>
      <x:c r="B64" s="5"/>
      <x:c r="C64" s="5"/>
      <x:c r="D64" s="5"/>
    </x:row>
    <x:row r="65">
      <x:c r="A65" s="5"/>
      <x:c r="B65" s="5"/>
      <x:c r="C65" s="5"/>
      <x:c r="D65" s="5"/>
    </x:row>
    <x:row r="66">
      <x:c r="A66" s="5"/>
      <x:c r="B66" s="5"/>
      <x:c r="C66" s="5"/>
      <x:c r="D66" s="5"/>
    </x:row>
    <x:row r="67">
      <x:c r="A67" s="5"/>
      <x:c r="B67" s="5"/>
      <x:c r="C67" s="5"/>
      <x:c r="D67" s="5"/>
    </x:row>
    <x:row r="68">
      <x:c r="A68" s="5"/>
      <x:c r="B68" s="5"/>
      <x:c r="C68" s="5"/>
      <x:c r="D68" s="5"/>
    </x:row>
    <x:row r="69">
      <x:c r="A69" s="5"/>
      <x:c r="B69" s="5"/>
      <x:c r="C69" s="5"/>
      <x:c r="D69" s="5"/>
    </x:row>
    <x:row r="70">
      <x:c r="A70" s="5"/>
      <x:c r="B70" s="5"/>
      <x:c r="C70" s="5"/>
      <x:c r="D70" s="5"/>
    </x:row>
    <x:row r="71">
      <x:c r="A71" s="5"/>
      <x:c r="B71" s="5"/>
      <x:c r="C71" s="5"/>
      <x:c r="D71" s="5"/>
    </x:row>
    <x:row r="72">
      <x:c r="A72" s="5"/>
      <x:c r="B72" s="5"/>
      <x:c r="C72" s="5"/>
      <x:c r="D72" s="5"/>
    </x:row>
    <x:row r="73">
      <x:c r="A73" s="5"/>
      <x:c r="B73" s="5"/>
      <x:c r="C73" s="5"/>
      <x:c r="D73" s="5"/>
    </x:row>
    <x:row r="74">
      <x:c r="A74" s="5"/>
      <x:c r="B74" s="5"/>
      <x:c r="C74" s="5"/>
      <x:c r="D74" s="5"/>
    </x:row>
    <x:row r="75">
      <x:c r="A75" s="5"/>
      <x:c r="B75" s="5"/>
      <x:c r="C75" s="5"/>
      <x:c r="D75" s="5"/>
    </x:row>
    <x:row r="76">
      <x:c r="A76" s="5"/>
      <x:c r="B76" s="5"/>
      <x:c r="C76" s="5"/>
      <x:c r="D76" s="5"/>
    </x:row>
    <x:row r="77">
      <x:c r="A77" s="5"/>
      <x:c r="B77" s="5"/>
      <x:c r="C77" s="5"/>
      <x:c r="D77" s="5"/>
    </x:row>
    <x:row r="78">
      <x:c r="A78" s="5"/>
      <x:c r="B78" s="5"/>
      <x:c r="C78" s="5"/>
      <x:c r="D78" s="5"/>
    </x:row>
    <x:row r="79">
      <x:c r="A79" s="5"/>
      <x:c r="B79" s="5"/>
      <x:c r="C79" s="5"/>
      <x:c r="D79" s="5"/>
    </x:row>
    <x:row r="80">
      <x:c r="A80" s="5"/>
      <x:c r="B80" s="5"/>
      <x:c r="C80" s="5"/>
      <x:c r="D80" s="5"/>
    </x:row>
    <x:row r="81">
      <x:c r="A81" s="5"/>
      <x:c r="B81" s="5"/>
      <x:c r="C81" s="5"/>
      <x:c r="D81" s="5"/>
    </x:row>
    <x:row r="82">
      <x:c r="A82" s="5"/>
      <x:c r="B82" s="5"/>
      <x:c r="C82" s="5"/>
      <x:c r="D82" s="5"/>
    </x:row>
    <x:row r="83">
      <x:c r="A83" s="5"/>
      <x:c r="B83" s="5"/>
      <x:c r="C83" s="5"/>
      <x:c r="D83" s="5"/>
    </x:row>
    <x:row r="84">
      <x:c r="A84" s="5"/>
      <x:c r="B84" s="5"/>
      <x:c r="C84" s="5"/>
      <x:c r="D84" s="5"/>
    </x:row>
    <x:row r="85">
      <x:c r="A85" s="5"/>
      <x:c r="B85" s="5"/>
      <x:c r="C85" s="5"/>
      <x:c r="D85" s="5"/>
    </x:row>
    <x:row r="86">
      <x:c r="A86" s="5"/>
      <x:c r="B86" s="5"/>
      <x:c r="C86" s="5"/>
      <x:c r="D86" s="5"/>
    </x:row>
    <x:row r="87">
      <x:c r="A87" s="5"/>
      <x:c r="B87" s="5"/>
      <x:c r="C87" s="5"/>
      <x:c r="D87" s="5"/>
    </x:row>
    <x:row r="88">
      <x:c r="A88" s="5"/>
      <x:c r="B88" s="5"/>
      <x:c r="C88" s="5"/>
      <x:c r="D88" s="5"/>
    </x:row>
    <x:row r="89">
      <x:c r="A89" s="5"/>
      <x:c r="B89" s="5"/>
      <x:c r="C89" s="5"/>
      <x:c r="D89" s="5"/>
    </x:row>
    <x:row r="90">
      <x:c r="A90" s="5"/>
      <x:c r="B90" s="5"/>
      <x:c r="C90" s="5"/>
      <x:c r="D90" s="5"/>
    </x:row>
    <x:row r="91">
      <x:c r="A91" s="5"/>
      <x:c r="B91" s="5"/>
      <x:c r="C91" s="5"/>
      <x:c r="D91" s="5"/>
    </x:row>
    <x:row r="92">
      <x:c r="A92" s="5"/>
      <x:c r="B92" s="5"/>
      <x:c r="C92" s="5"/>
      <x:c r="D92" s="5"/>
    </x:row>
    <x:row r="93">
      <x:c r="A93" s="5"/>
      <x:c r="B93" s="5"/>
      <x:c r="C93" s="5"/>
      <x:c r="D93" s="5"/>
    </x:row>
    <x:row r="94">
      <x:c r="A94" s="5"/>
      <x:c r="B94" s="5"/>
      <x:c r="C94" s="5"/>
      <x:c r="D94" s="5"/>
    </x:row>
    <x:row r="95">
      <x:c r="A95" s="5"/>
      <x:c r="B95" s="5"/>
      <x:c r="C95" s="5"/>
      <x:c r="D95" s="5"/>
    </x:row>
    <x:row r="96">
      <x:c r="A96" s="5"/>
      <x:c r="B96" s="5"/>
      <x:c r="C96" s="5"/>
      <x:c r="D96" s="5"/>
    </x:row>
    <x:row r="97">
      <x:c r="A97" s="5"/>
      <x:c r="B97" s="5"/>
      <x:c r="C97" s="5"/>
      <x:c r="D97" s="5"/>
    </x:row>
    <x:row r="98">
      <x:c r="A98" s="5"/>
      <x:c r="B98" s="5"/>
      <x:c r="C98" s="5"/>
      <x:c r="D98" s="5"/>
    </x:row>
    <x:row r="99">
      <x:c r="A99" s="5"/>
      <x:c r="B99" s="5"/>
      <x:c r="C99" s="5"/>
      <x:c r="D99" s="5"/>
    </x:row>
    <x:row r="100">
      <x:c r="A100" s="5"/>
      <x:c r="B100" s="5"/>
      <x:c r="C100" s="5"/>
      <x:c r="D100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14" hidden="0" customWidth="1"/>
    <x:col min="4" max="4" width="64" hidden="0" customWidth="1"/>
  </x:cols>
  <x:sheetData>
    <x:row r="1">
      <x:c r="A1" s="18" t="str">
        <x:v>Limitation</x:v>
      </x:c>
      <x:c r="B1" s="18" t="str">
        <x:v>Explanation</x:v>
      </x:c>
      <x:c r="C1" s="18" t="str">
        <x:v>Severity</x:v>
      </x:c>
      <x:c r="D1" s="18" t="str">
        <x:v>Model Impact</x:v>
      </x:c>
    </x:row>
    <x:row r="2">
      <x:c r="A2" s="5" t="str">
        <x:v>Analyst reports not fully public</x:v>
      </x:c>
      <x:c r="B2" s="5" t="str">
        <x:v>Actual Jefferies/BofA/Raymond/CFRA target multiple, DCF, EPS and EBITDA forecasts are not publicly observable from the sources reviewed.</x:v>
      </x:c>
      <x:c r="C2" s="5" t="str">
        <x:v>High</x:v>
      </x:c>
      <x:c r="D2" s="5" t="str">
        <x:v>Street_Targets uses verified targets but flags method as NOT OBSERVABLE where required.</x:v>
      </x:c>
    </x:row>
    <x:row r="3">
      <x:c r="A3" s="5" t="str">
        <x:v>Consensus data source limitations</x:v>
      </x:c>
      <x:c r="B3" s="5" t="str">
        <x:v>StockAnalysis uses S&amp;P Global / TipRanks snapshots; forecast detail is partly gated and dates vary by page.</x:v>
      </x:c>
      <x:c r="C3" s="5" t="str">
        <x:v>Medium</x:v>
      </x:c>
      <x:c r="D3" s="5" t="str">
        <x:v>FY27 EPS bridge is directional and should be refreshed with licensed consensus where available.</x:v>
      </x:c>
    </x:row>
    <x:row r="4">
      <x:c r="A4" s="5" t="str">
        <x:v>FDXF post-spin transition noise</x:v>
      </x:c>
      <x:c r="B4" s="5" t="str">
        <x:v>Trailing FCF, GAAP margins and leverage are affected by spin-off costs, new debt and fiscal-year transition.</x:v>
      </x:c>
      <x:c r="C4" s="5" t="str">
        <x:v>High</x:v>
      </x:c>
      <x:c r="D4" s="5" t="str">
        <x:v>Workbook uses adjusted OI + D&amp;A proxy for normalized EBITDA ladder.</x:v>
      </x:c>
    </x:row>
    <x:row r="5">
      <x:c r="A5" s="5" t="str">
        <x:v>Historical peer comparisons are imperfect</x:v>
      </x:c>
      <x:c r="B5" s="5" t="str">
        <x:v>XPO pre-transformation history is not directly comparable; Saia terminal expansion and Yellow market-share shifts affect history.</x:v>
      </x:c>
      <x:c r="C5" s="5" t="str">
        <x:v>High</x:v>
      </x:c>
      <x:c r="D5" s="5" t="str">
        <x:v>Historical_Multiples includes annotations rather than treating ranges mechanically.</x:v>
      </x:c>
    </x:row>
    <x:row r="6">
      <x:c r="A6" s="5" t="str">
        <x:v>Prior thesis integration is contextual</x:v>
      </x:c>
      <x:c r="B6" s="5" t="str">
        <x:v>Healthcare TAM and Amazon overlap are incorporated as evidence investors need to monitor, not as automatic valuation haircuts.</x:v>
      </x:c>
      <x:c r="C6" s="5" t="str">
        <x:v>Medium</x:v>
      </x:c>
      <x:c r="D6" s="5" t="str">
        <x:v>Do not force bearish conclusion.</x:v>
      </x:c>
    </x:row>
  </x:sheetData>
  <x:pageMargins left="0.7" right="0.7" top="0.75" bottom="0.75" header="0.3" footer="0.3"/>
</x:worksheet>
</file>